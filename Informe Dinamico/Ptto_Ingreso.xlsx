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ppto_ingreso_up\ppto_ingreso_up\Informe Dinamico\"/>
    </mc:Choice>
  </mc:AlternateContent>
  <xr:revisionPtr revIDLastSave="0" documentId="13_ncr:1_{76AEF60E-77E7-4686-ABA0-39E14693C77C}" xr6:coauthVersionLast="47" xr6:coauthVersionMax="47" xr10:uidLastSave="{00000000-0000-0000-0000-000000000000}"/>
  <bookViews>
    <workbookView xWindow="-28920" yWindow="555" windowWidth="29040" windowHeight="15720" xr2:uid="{DD7FA261-6F1E-48BC-A409-126F100FF07A}"/>
  </bookViews>
  <sheets>
    <sheet name="Kilos" sheetId="1" r:id="rId1"/>
    <sheet name="Ingreso USD" sheetId="2" r:id="rId2"/>
    <sheet name="Ingreso CLP" sheetId="4" r:id="rId3"/>
    <sheet name="Unitarios" sheetId="5" r:id="rId4"/>
  </sheets>
  <calcPr calcId="191029"/>
  <pivotCaches>
    <pivotCache cacheId="529" r:id="rId5"/>
    <pivotCache cacheId="532" r:id="rId6"/>
    <pivotCache cacheId="535" r:id="rId7"/>
    <pivotCache cacheId="538" r:id="rId8"/>
    <pivotCache cacheId="541" r:id="rId9"/>
    <pivotCache cacheId="544" r:id="rId10"/>
    <pivotCache cacheId="547" r:id="rId11"/>
    <pivotCache cacheId="550" r:id="rId12"/>
    <pivotCache cacheId="553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pto_ingreso_b59939f1-22e3-4d1d-bdb5-7c264e25ad2b" name="ppto_ingreso" connection="Consulta - ppto_ingres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E9F35-1821-4D30-B66F-FF4B3A20D386}" name="Consulta - ppto_ingreso" description="Conexión a la consulta 'ppto_ingreso' en el libro." type="100" refreshedVersion="8" minRefreshableVersion="5">
    <extLst>
      <ext xmlns:x15="http://schemas.microsoft.com/office/spreadsheetml/2010/11/main" uri="{DE250136-89BD-433C-8126-D09CA5730AF9}">
        <x15:connection id="ad494624-f428-49ce-a4b3-fc26e8bc10d6"/>
      </ext>
    </extLst>
  </connection>
  <connection id="2" xr16:uid="{9F8D0B66-532E-4A41-8B8D-E591484D2853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<sst xmlns="http://schemas.openxmlformats.org/spreadsheetml/2006/main" count="360" uniqueCount="42">
  <si>
    <t>Etiquetas de fila</t>
  </si>
  <si>
    <t>Ciruelas</t>
  </si>
  <si>
    <t>Damasco</t>
  </si>
  <si>
    <t>Durazno</t>
  </si>
  <si>
    <t>Durazno Planos</t>
  </si>
  <si>
    <t>Kiwi</t>
  </si>
  <si>
    <t>Limon</t>
  </si>
  <si>
    <t>Mandarina</t>
  </si>
  <si>
    <t>Naranjas</t>
  </si>
  <si>
    <t>Nectarin</t>
  </si>
  <si>
    <t>Pera</t>
  </si>
  <si>
    <t>Total general</t>
  </si>
  <si>
    <t>AGUA SANTA</t>
  </si>
  <si>
    <t>TRIOFRUT</t>
  </si>
  <si>
    <t>SOFRUCO</t>
  </si>
  <si>
    <t>REINA SUR</t>
  </si>
  <si>
    <t>EL PARQUE</t>
  </si>
  <si>
    <t>IDAHUE</t>
  </si>
  <si>
    <t>CHUCAO</t>
  </si>
  <si>
    <t>TOTAL FRUIT</t>
  </si>
  <si>
    <t>Suma de kgs_a_proc</t>
  </si>
  <si>
    <t>exportadora</t>
  </si>
  <si>
    <t>Kilos</t>
  </si>
  <si>
    <t>Suma de kg_export</t>
  </si>
  <si>
    <t>Temporada</t>
  </si>
  <si>
    <t>25-26</t>
  </si>
  <si>
    <t>Actualizado</t>
  </si>
  <si>
    <t>KILOGRAMOS A PROCESO</t>
  </si>
  <si>
    <t>KILOGRAMOS A FRIO</t>
  </si>
  <si>
    <t>Suma de usd_packing</t>
  </si>
  <si>
    <t>INGRESO PACKING USD</t>
  </si>
  <si>
    <t>INGRESO FRIGORIFICO USD</t>
  </si>
  <si>
    <t>Suma de usd_frio</t>
  </si>
  <si>
    <t>INGRESO TOTAL USD</t>
  </si>
  <si>
    <t>Suma de usd_total</t>
  </si>
  <si>
    <t>Unit Pack</t>
  </si>
  <si>
    <t>unit_frio</t>
  </si>
  <si>
    <t>Promedio de unitario_total</t>
  </si>
  <si>
    <t>clp_packing</t>
  </si>
  <si>
    <t>clp_total</t>
  </si>
  <si>
    <t xml:space="preserve"> clp_frio</t>
  </si>
  <si>
    <t>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</si>
</sst>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2" formatCode="_ &quot;$&quot;* #,##0_ ;_ &quot;$&quot;* \-#,##0_ ;_ &quot;$&quot;* &quot;-&quot;_ ;_ @_ "/>
    <numFmt numFmtId="41" formatCode="_ * #,##0_ ;_ * \-#,##0_ ;_ * &quot;-&quot;_ ;_ @_ "/>
    <numFmt numFmtId="164" formatCode="#,##0.0000"/>
    <numFmt numFmtId="170" formatCode="_ * #,##0.0000_ ;_ * \-#,##0.0000_ ;_ * &quot;-&quot;??_ ;_ @_ "/>
  </numFmts>
  <fonts count="3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3" fontId="0" fillId="0" borderId="0" xfId="0" applyNumberFormat="1"/>
    <xf numFmtId="0" fontId="0" fillId="0" borderId="1" xfId="0" applyBorder="1"/>
    <xf numFmtId="14" fontId="0" fillId="0" borderId="1" xfId="0" applyNumberFormat="1" applyBorder="1"/>
    <xf numFmtId="4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41" fontId="0" fillId="0" borderId="0" xfId="1" applyFont="1"/>
    <xf numFmtId="42" fontId="0" fillId="0" borderId="0" xfId="0" applyNumberFormat="1"/>
    <xf numFmtId="41" fontId="0" fillId="0" borderId="0" xfId="0" applyNumberFormat="1"/>
    <xf numFmtId="170" fontId="0" fillId="0" borderId="0" xfId="0" applyNumberFormat="1"/>
  </cellXfs>
  <cellStyles count="2">
    <cellStyle name="Millares [0]" xfId="1" builtinId="6"/>
    <cellStyle name="Normal" xfId="0" builtinId="0"/>
  </cellStyles>
  <dxfs count="0"/>
  <tableStyles count="1" defaultTableStyle="TableStyleMedium2" defaultPivotStyle="PivotStyleLight16">
    <tableStyle name="Invisible" pivot="0" table="0" count="0" xr9:uid="{136BDB89-E529-4FE7-BAE6-276424645A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84722221" backgroundQuery="1" createdVersion="8" refreshedVersion="8" minRefreshableVersion="3" recordCount="0" supportSubquery="1" supportAdvancedDrill="1" xr:uid="{A80B2740-F9C6-4A9F-A2AF-0FBDE566ADC0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Measures].[Suma de kgs_a_proc]" caption="Suma de kgs_a_proc" numFmtId="0" hierarchy="28" level="32767"/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3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86111114" backgroundQuery="1" createdVersion="8" refreshedVersion="8" minRefreshableVersion="3" recordCount="0" supportSubquery="1" supportAdvancedDrill="1" xr:uid="{A1A13C92-B57F-4FC2-A72E-8DD9DD2EA10E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kg_export]" caption="Suma de kg_export" numFmtId="0" hierarchy="29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87962962" backgroundQuery="1" createdVersion="8" refreshedVersion="8" minRefreshableVersion="3" recordCount="0" supportSubquery="1" supportAdvancedDrill="1" xr:uid="{959E8389-D74D-4219-B59E-5B2C19E62130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usd_frio]" caption="Suma de usd_frio" numFmtId="0" hierarchy="31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89699071" backgroundQuery="1" createdVersion="8" refreshedVersion="8" minRefreshableVersion="3" recordCount="0" supportSubquery="1" supportAdvancedDrill="1" xr:uid="{260D189D-1FE2-4A65-AA6B-66C836660F08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usd_total]" caption="Suma de usd_total" numFmtId="0" hierarchy="32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91435187" backgroundQuery="1" createdVersion="8" refreshedVersion="8" minRefreshableVersion="3" recordCount="0" supportSubquery="1" supportAdvancedDrill="1" xr:uid="{B03B9E14-A675-4FB3-A7FD-8B8DF869D693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usd_packing]" caption="Suma de usd_packing" numFmtId="0" hierarchy="30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93171296" backgroundQuery="1" createdVersion="8" refreshedVersion="8" minRefreshableVersion="3" recordCount="0" supportSubquery="1" supportAdvancedDrill="1" xr:uid="{4F15843D-A07F-46E5-998C-7B2EF644662D}">
  <cacheSource type="external" connectionId="2"/>
  <cacheFields count="5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Measures].[Promedio de p_unit_packing]" caption="Promedio de p_unit_packing" numFmtId="0" hierarchy="36" level="32767"/>
    <cacheField name="[Measures].[Promedio de p_unit_frio]" caption="Promedio de p_unit_frio" numFmtId="0" hierarchy="35" level="32767"/>
    <cacheField name="[Measures].[Promedio de unitario_total 2]" caption="Promedio de unitario_total 2" numFmtId="0" hierarchy="38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0" memberValueDatatype="20" unbalanced="0"/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94791666" backgroundQuery="1" createdVersion="8" refreshedVersion="8" minRefreshableVersion="3" recordCount="0" supportSubquery="1" supportAdvancedDrill="1" xr:uid="{22626C5B-E697-4902-BF28-0AFFDD8AB473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clp_packing]" caption="Suma de clp_packing" numFmtId="0" hierarchy="39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96180552" backgroundQuery="1" createdVersion="8" refreshedVersion="8" minRefreshableVersion="3" recordCount="0" supportSubquery="1" supportAdvancedDrill="1" xr:uid="{1F2C3FEA-92BC-4F7D-A62E-524A93385359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clp_total]" caption="Suma de clp_total" numFmtId="0" hierarchy="41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Arenas" refreshedDate="46125.636497685184" backgroundQuery="1" createdVersion="8" refreshedVersion="8" minRefreshableVersion="3" recordCount="0" supportSubquery="1" supportAdvancedDrill="1" xr:uid="{269E3F13-6F6C-4D73-AA71-AAEDC1C4848C}">
  <cacheSource type="external" connectionId="2"/>
  <cacheFields count="4">
    <cacheField name="[ppto_ingreso].[especie].[especie]" caption="especie" numFmtId="0" hierarchy="2" level="1">
      <sharedItems count="10">
        <s v="Ciruelas"/>
        <s v="Damasco"/>
        <s v="Durazno"/>
        <s v="Durazno Planos"/>
        <s v="Kiwi"/>
        <s v="Limon"/>
        <s v="Mandarina"/>
        <s v="Naranjas"/>
        <s v="Nectarin"/>
        <s v="Pera"/>
      </sharedItems>
    </cacheField>
    <cacheField name="[ppto_ingreso].[exportadora].[exportadora]" caption="exportadora" numFmtId="0" hierarchy="1" level="1">
      <sharedItems count="8">
        <s v="AGUA SANTA"/>
        <s v="TRIOFRUT"/>
        <s v="SOFRUCO"/>
        <s v="REINA SUR"/>
        <s v="EL PARQUE"/>
        <s v="IDAHUE"/>
        <s v="CHUCAO"/>
        <s v="TOTAL FRUIT"/>
      </sharedItems>
    </cacheField>
    <cacheField name="[ppto_ingreso].[mes].[mes]" caption="mes" numFmtId="0" hierarchy="8" level="1">
      <sharedItems containsSemiMixedTypes="0" containsString="0" containsNumber="1" containsInteger="1" minValue="1" maxValue="12" count="11">
        <n v="1"/>
        <n v="2"/>
        <n v="3"/>
        <n v="4"/>
        <n v="5"/>
        <n v="6"/>
        <n v="7"/>
        <n v="8"/>
        <n v="9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ppto_ingreso].[mes].&amp;[1]"/>
            <x15:cachedUniqueName index="1" name="[ppto_ingreso].[mes].&amp;[2]"/>
            <x15:cachedUniqueName index="2" name="[ppto_ingreso].[mes].&amp;[3]"/>
            <x15:cachedUniqueName index="3" name="[ppto_ingreso].[mes].&amp;[4]"/>
            <x15:cachedUniqueName index="4" name="[ppto_ingreso].[mes].&amp;[5]"/>
            <x15:cachedUniqueName index="5" name="[ppto_ingreso].[mes].&amp;[6]"/>
            <x15:cachedUniqueName index="6" name="[ppto_ingreso].[mes].&amp;[7]"/>
            <x15:cachedUniqueName index="7" name="[ppto_ingreso].[mes].&amp;[8]"/>
            <x15:cachedUniqueName index="8" name="[ppto_ingreso].[mes].&amp;[9]"/>
            <x15:cachedUniqueName index="9" name="[ppto_ingreso].[mes].&amp;[11]"/>
            <x15:cachedUniqueName index="10" name="[ppto_ingreso].[mes].&amp;[12]"/>
          </x15:cachedUniqueNames>
        </ext>
      </extLst>
    </cacheField>
    <cacheField name="[Measures].[Suma de clp_frio]" caption="Suma de clp_frio" numFmtId="0" hierarchy="40" level="32767"/>
  </cacheFields>
  <cacheHierarchies count="42">
    <cacheHierarchy uniqueName="[ppto_ingreso].[temporada]" caption="temporada" attribute="1" defaultMemberUniqueName="[ppto_ingreso].[temporada].[All]" allUniqueName="[ppto_ingreso].[temporada].[All]" dimensionUniqueName="[ppto_ingreso]" displayFolder="" count="0" memberValueDatatype="130" unbalanced="0"/>
    <cacheHierarchy uniqueName="[ppto_ingreso].[exportadora]" caption="exportadora" attribute="1" defaultMemberUniqueName="[ppto_ingreso].[exportadora].[All]" allUniqueName="[ppto_ingreso].[exportadora].[All]" dimensionUniqueName="[ppto_ingreso]" displayFolder="" count="2" memberValueDatatype="130" unbalanced="0">
      <fieldsUsage count="2">
        <fieldUsage x="-1"/>
        <fieldUsage x="1"/>
      </fieldsUsage>
    </cacheHierarchy>
    <cacheHierarchy uniqueName="[ppto_ingreso].[especie]" caption="especie" attribute="1" defaultMemberUniqueName="[ppto_ingreso].[especie].[All]" allUniqueName="[ppto_ingreso].[especie].[All]" dimensionUniqueName="[ppto_ingreso]" displayFolder="" count="2" memberValueDatatype="130" unbalanced="0">
      <fieldsUsage count="2">
        <fieldUsage x="-1"/>
        <fieldUsage x="0"/>
      </fieldsUsage>
    </cacheHierarchy>
    <cacheHierarchy uniqueName="[ppto_ingreso].[variedad]" caption="variedad" attribute="1" defaultMemberUniqueName="[ppto_ingreso].[variedad].[All]" allUniqueName="[ppto_ingreso].[variedad].[All]" dimensionUniqueName="[ppto_ingreso]" displayFolder="" count="0" memberValueDatatype="130" unbalanced="0"/>
    <cacheHierarchy uniqueName="[ppto_ingreso].[productor]" caption="productor" attribute="1" defaultMemberUniqueName="[ppto_ingreso].[productor].[All]" allUniqueName="[ppto_ingreso].[productor].[All]" dimensionUniqueName="[ppto_ingreso]" displayFolder="" count="0" memberValueDatatype="130" unbalanced="0"/>
    <cacheHierarchy uniqueName="[ppto_ingreso].[grupo]" caption="grupo" attribute="1" defaultMemberUniqueName="[ppto_ingreso].[grupo].[All]" allUniqueName="[ppto_ingreso].[grupo].[All]" dimensionUniqueName="[ppto_ingreso]" displayFolder="" count="0" memberValueDatatype="130" unbalanced="0"/>
    <cacheHierarchy uniqueName="[ppto_ingreso].[fecha]" caption="fecha" attribute="1" time="1" defaultMemberUniqueName="[ppto_ingreso].[fecha].[All]" allUniqueName="[ppto_ingreso].[fecha].[All]" dimensionUniqueName="[ppto_ingreso]" displayFolder="" count="0" memberValueDatatype="7" unbalanced="0"/>
    <cacheHierarchy uniqueName="[ppto_ingreso].[semana]" caption="semana" attribute="1" defaultMemberUniqueName="[ppto_ingreso].[semana].[All]" allUniqueName="[ppto_ingreso].[semana].[All]" dimensionUniqueName="[ppto_ingreso]" displayFolder="" count="0" memberValueDatatype="20" unbalanced="0"/>
    <cacheHierarchy uniqueName="[ppto_ingreso].[mes]" caption="mes" attribute="1" defaultMemberUniqueName="[ppto_ingreso].[mes].[All]" allUniqueName="[ppto_ingreso].[mes].[All]" dimensionUniqueName="[ppto_ingreso]" displayFolder="" count="2" memberValueDatatype="20" unbalanced="0">
      <fieldsUsage count="2">
        <fieldUsage x="-1"/>
        <fieldUsage x="2"/>
      </fieldsUsage>
    </cacheHierarchy>
    <cacheHierarchy uniqueName="[ppto_ingreso].[envase]" caption="envase" attribute="1" defaultMemberUniqueName="[ppto_ingreso].[envase].[All]" allUniqueName="[ppto_ingreso].[envase].[All]" dimensionUniqueName="[ppto_ingreso]" displayFolder="" count="0" memberValueDatatype="130" unbalanced="0"/>
    <cacheHierarchy uniqueName="[ppto_ingreso].[kgs_a_proc]" caption="kgs_a_proc" attribute="1" defaultMemberUniqueName="[ppto_ingreso].[kgs_a_proc].[All]" allUniqueName="[ppto_ingreso].[kgs_a_proc].[All]" dimensionUniqueName="[ppto_ingreso]" displayFolder="" count="0" memberValueDatatype="5" unbalanced="0"/>
    <cacheHierarchy uniqueName="[ppto_ingreso].[pct_export]" caption="pct_export" attribute="1" defaultMemberUniqueName="[ppto_ingreso].[pct_export].[All]" allUniqueName="[ppto_ingreso].[pct_export].[All]" dimensionUniqueName="[ppto_ingreso]" displayFolder="" count="0" memberValueDatatype="5" unbalanced="0"/>
    <cacheHierarchy uniqueName="[ppto_ingreso].[kg_export]" caption="kg_export" attribute="1" defaultMemberUniqueName="[ppto_ingreso].[kg_export].[All]" allUniqueName="[ppto_ingreso].[kg_export].[All]" dimensionUniqueName="[ppto_ingreso]" displayFolder="" count="0" memberValueDatatype="5" unbalanced="0"/>
    <cacheHierarchy uniqueName="[ppto_ingreso].[p_unit_packing]" caption="p_unit_packing" attribute="1" defaultMemberUniqueName="[ppto_ingreso].[p_unit_packing].[All]" allUniqueName="[ppto_ingreso].[p_unit_packing].[All]" dimensionUniqueName="[ppto_ingreso]" displayFolder="" count="0" memberValueDatatype="5" unbalanced="0"/>
    <cacheHierarchy uniqueName="[ppto_ingreso].[p_unit_frio]" caption="p_unit_frio" attribute="1" defaultMemberUniqueName="[ppto_ingreso].[p_unit_frio].[All]" allUniqueName="[ppto_ingreso].[p_unit_frio].[All]" dimensionUniqueName="[ppto_ingreso]" displayFolder="" count="0" memberValueDatatype="5" unbalanced="0"/>
    <cacheHierarchy uniqueName="[ppto_ingreso].[unitario_total]" caption="unitario_total" attribute="1" defaultMemberUniqueName="[ppto_ingreso].[unitario_total].[All]" allUniqueName="[ppto_ingreso].[unitario_total].[All]" dimensionUniqueName="[ppto_ingreso]" displayFolder="" count="0" memberValueDatatype="5" unbalanced="0"/>
    <cacheHierarchy uniqueName="[ppto_ingreso].[usd_packing]" caption="usd_packing" attribute="1" defaultMemberUniqueName="[ppto_ingreso].[usd_packing].[All]" allUniqueName="[ppto_ingreso].[usd_packing].[All]" dimensionUniqueName="[ppto_ingreso]" displayFolder="" count="0" memberValueDatatype="5" unbalanced="0"/>
    <cacheHierarchy uniqueName="[ppto_ingreso].[usd_frio]" caption="usd_frio" attribute="1" defaultMemberUniqueName="[ppto_ingreso].[usd_frio].[All]" allUniqueName="[ppto_ingreso].[usd_frio].[All]" dimensionUniqueName="[ppto_ingreso]" displayFolder="" count="0" memberValueDatatype="5" unbalanced="0"/>
    <cacheHierarchy uniqueName="[ppto_ingreso].[usd_total]" caption="usd_total" attribute="1" defaultMemberUniqueName="[ppto_ingreso].[usd_total].[All]" allUniqueName="[ppto_ingreso].[usd_total].[All]" dimensionUniqueName="[ppto_ingreso]" displayFolder="" count="0" memberValueDatatype="5" unbalanced="0"/>
    <cacheHierarchy uniqueName="[ppto_ingreso].[tasa_clp_usd]" caption="tasa_clp_usd" attribute="1" defaultMemberUniqueName="[ppto_ingreso].[tasa_clp_usd].[All]" allUniqueName="[ppto_ingreso].[tasa_clp_usd].[All]" dimensionUniqueName="[ppto_ingreso]" displayFolder="" count="0" memberValueDatatype="5" unbalanced="0"/>
    <cacheHierarchy uniqueName="[ppto_ingreso].[tc_manual]" caption="tc_manual" attribute="1" defaultMemberUniqueName="[ppto_ingreso].[tc_manual].[All]" allUniqueName="[ppto_ingreso].[tc_manual].[All]" dimensionUniqueName="[ppto_ingreso]" displayFolder="" count="0" memberValueDatatype="5" unbalanced="0"/>
    <cacheHierarchy uniqueName="[ppto_ingreso].[clp_packing]" caption="clp_packing" attribute="1" defaultMemberUniqueName="[ppto_ingreso].[clp_packing].[All]" allUniqueName="[ppto_ingreso].[clp_packing].[All]" dimensionUniqueName="[ppto_ingreso]" displayFolder="" count="0" memberValueDatatype="5" unbalanced="0"/>
    <cacheHierarchy uniqueName="[ppto_ingreso].[clp_frio]" caption="clp_frio" attribute="1" defaultMemberUniqueName="[ppto_ingreso].[clp_frio].[All]" allUniqueName="[ppto_ingreso].[clp_frio].[All]" dimensionUniqueName="[ppto_ingreso]" displayFolder="" count="0" memberValueDatatype="5" unbalanced="0"/>
    <cacheHierarchy uniqueName="[ppto_ingreso].[clp_total]" caption="clp_total" attribute="1" defaultMemberUniqueName="[ppto_ingreso].[clp_total].[All]" allUniqueName="[ppto_ingreso].[clp_total].[All]" dimensionUniqueName="[ppto_ingreso]" displayFolder="" count="0" memberValueDatatype="5" unbalanced="0"/>
    <cacheHierarchy uniqueName="[ppto_ingreso].[es_manual]" caption="es_manual" attribute="1" defaultMemberUniqueName="[ppto_ingreso].[es_manual].[All]" allUniqueName="[ppto_ingreso].[es_manual].[All]" dimensionUniqueName="[ppto_ingreso]" displayFolder="" count="0" memberValueDatatype="20" unbalanced="0"/>
    <cacheHierarchy uniqueName="[ppto_ingreso].[tc_es_manual]" caption="tc_es_manual" attribute="1" defaultMemberUniqueName="[ppto_ingreso].[tc_es_manual].[All]" allUniqueName="[ppto_ingreso].[tc_es_manual].[All]" dimensionUniqueName="[ppto_ingreso]" displayFolder="" count="0" memberValueDatatype="20" unbalanced="0"/>
    <cacheHierarchy uniqueName="[Measures].[__XL_Count ppto_ingreso]" caption="__XL_Count ppto_ingreso" measure="1" displayFolder="" measureGroup="ppto_ingreso" count="0" hidden="1"/>
    <cacheHierarchy uniqueName="[Measures].[__No measures defined]" caption="__No measures defined" measure="1" displayFolder="" count="0" hidden="1"/>
    <cacheHierarchy uniqueName="[Measures].[Suma de kgs_a_proc]" caption="Suma de kgs_a_proc" measure="1" displayFolder="" measureGroup="ppto_ingres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kg_export]" caption="Suma de kg_export" measure="1" displayFolder="" measureGroup="ppto_ingres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a de usd_packing]" caption="Suma de usd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usd_frio]" caption="Suma de usd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usd_total]" caption="Suma de usd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p_unit_packing]" caption="Suma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p_unit_frio]" caption="Suma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frio]" caption="Promedio de p_unit_frio" measure="1" displayFolder="" measureGroup="ppto_ingreso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romedio de p_unit_packing]" caption="Promedio de p_unit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unitario_total 2]" caption="Suma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Promedio de unitario_total 2]" caption="Promedio de unitario_total 2" measure="1" displayFolder="" measureGroup="ppto_ingres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a de clp_packing]" caption="Suma de clp_packing" measure="1" displayFolder="" measureGroup="ppto_ingreso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a de clp_frio]" caption="Suma de clp_frio" measure="1" displayFolder="" measureGroup="ppto_ingres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clp_total]" caption="Suma de clp_total" measure="1" displayFolder="" measureGroup="ppto_ingreso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2">
    <dimension measure="1" name="Measures" uniqueName="[Measures]" caption="Measures"/>
    <dimension name="ppto_ingreso" uniqueName="[ppto_ingreso]" caption="ppto_ingreso"/>
  </dimensions>
  <measureGroups count="1">
    <measureGroup name="ppto_ingreso" caption="ppto_ingres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1494EB-21B9-4460-9AF9-09667B96517F}" name="TablaDinámica1" cacheId="5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5:N27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outline="0" subtotalTop="0" showAll="0" defaultSubtotal="0"/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3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a de kgs_a_proc" fld="2" baseField="1" baseItem="0" numFmtId="3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41C1E3-D41F-42CA-B32B-E53EF6F57C51}" name="TablaDinámica2" cacheId="5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33:N55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a de kg_export" fld="3" baseField="1" baseItem="1" numFmtId="3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3007F-5F8E-4B46-9019-98E0679D2BD4}" name="TablaDinámica2" cacheId="5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31:N53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a de usd_frio" fld="3" baseField="1" baseItem="2" numFmtId="4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2E44AB-7FBE-4614-B14B-4B5591F03C77}" name="TablaDinámica3" cacheId="5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58:N80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a de usd_total" fld="3" baseField="1" baseItem="0" numFmtId="4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2E6414-4FFC-4B98-9E8D-B81C32389B92}" name="TablaDinámica1" cacheId="5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4:N26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a de usd_packing" fld="3" baseField="1" baseItem="0" numFmtId="4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E5EF2A-FCD6-471C-9A9F-1FAF8E24E21A}" name="TablaDinámica1" cacheId="5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4:N26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lp_packing" fld="3" baseField="1" baseItem="5" numFmtId="42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lp_packing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46EC3A-E1EC-45CD-B17C-14E0FBFD106D}" name="TablaDinámica3" cacheId="5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58:N80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clp_total" fld="3" baseField="1" baseItem="0" numFmtId="42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lp_total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2F4808-6D07-4948-9A9C-735B009553A0}" name="TablaDinámica2" cacheId="5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31:N53" firstHeaderRow="1" firstDataRow="2" firstDataCol="2"/>
  <pivotFields count="4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outline="0" subtotalTop="0" showAll="0" defaultSubtotal="0" defaultAttributeDrillState="1">
      <items count="11">
        <item x="9"/>
        <item x="10"/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 clp_frio" fld="3" baseField="1" baseItem="3" numFmtId="42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clp_frio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46C49-6315-49B0-BBE3-36E4452D6EEB}" name="TablaDinámica1" cacheId="5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Kilos">
  <location ref="A4:E25" firstHeaderRow="0" firstDataRow="1" firstDataCol="2"/>
  <pivotFields count="5">
    <pivotField axis="axisRow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1">
    <i>
      <x/>
      <x/>
    </i>
    <i r="1">
      <x v="1"/>
    </i>
    <i>
      <x v="1"/>
      <x/>
    </i>
    <i r="1">
      <x v="2"/>
    </i>
    <i>
      <x v="2"/>
      <x/>
    </i>
    <i r="1">
      <x v="1"/>
    </i>
    <i>
      <x v="3"/>
      <x/>
    </i>
    <i>
      <x v="4"/>
      <x/>
    </i>
    <i r="1">
      <x v="3"/>
    </i>
    <i r="1">
      <x v="1"/>
    </i>
    <i>
      <x v="5"/>
      <x v="4"/>
    </i>
    <i>
      <x v="6"/>
      <x/>
    </i>
    <i r="1">
      <x v="5"/>
    </i>
    <i>
      <x v="7"/>
      <x/>
    </i>
    <i>
      <x v="8"/>
      <x/>
    </i>
    <i r="1">
      <x v="6"/>
    </i>
    <i r="1">
      <x v="7"/>
    </i>
    <i r="1">
      <x v="1"/>
    </i>
    <i>
      <x v="9"/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Unit Pack" fld="2" subtotal="average" baseField="1" baseItem="0" numFmtId="164"/>
    <dataField name="unit_frio" fld="3" subtotal="average" baseField="1" baseItem="0" numFmtId="164"/>
    <dataField name="Promedio de unitario_total" fld="4" subtotal="average" baseField="1" baseItem="0" numFmtId="164"/>
  </dataFields>
  <pivotHierarchies count="4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unit_frio"/>
    <pivotHierarchy dragToData="1" caption="Unit Pack"/>
    <pivotHierarchy dragToData="1"/>
    <pivotHierarchy dragToData="1" caption="Promedio de unitario_total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Consulta - ppto_ingreso">
        <x15:activeTabTopLevelEntity name="[ppto_ingres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0B6E-C071-4101-8822-741BCEB2B5DE}">
  <dimension ref="A2:N55"/>
  <sheetViews>
    <sheetView showGridLines="0" tabSelected="1" topLeftCell="A10" zoomScale="85" zoomScaleNormal="85" workbookViewId="0">
      <selection activeCell="R29" sqref="R29"/>
    </sheetView>
  </sheetViews>
  <sheetFormatPr baseColWidth="10" defaultRowHeight="15" x14ac:dyDescent="0.25"/>
  <cols>
    <col min="1" max="1" width="18" bestFit="1" customWidth="1"/>
    <col min="2" max="2" width="14.140625" bestFit="1" customWidth="1"/>
    <col min="3" max="3" width="10.5703125" bestFit="1" customWidth="1"/>
    <col min="4" max="8" width="9.28515625" bestFit="1" customWidth="1"/>
    <col min="9" max="9" width="7.7109375" bestFit="1" customWidth="1"/>
    <col min="10" max="13" width="9.28515625" bestFit="1" customWidth="1"/>
    <col min="14" max="14" width="12.5703125" bestFit="1" customWidth="1"/>
  </cols>
  <sheetData>
    <row r="2" spans="1:14" x14ac:dyDescent="0.25">
      <c r="B2" s="3" t="s">
        <v>24</v>
      </c>
      <c r="C2" s="3" t="s">
        <v>25</v>
      </c>
    </row>
    <row r="3" spans="1:14" x14ac:dyDescent="0.25">
      <c r="B3" s="3" t="s">
        <v>26</v>
      </c>
      <c r="C3" s="4">
        <v>46007</v>
      </c>
    </row>
    <row r="4" spans="1:14" x14ac:dyDescent="0.25">
      <c r="B4" s="8" t="s">
        <v>27</v>
      </c>
      <c r="C4" s="9"/>
    </row>
    <row r="5" spans="1:14" x14ac:dyDescent="0.25">
      <c r="A5" s="1" t="s">
        <v>20</v>
      </c>
      <c r="C5" s="1" t="s">
        <v>22</v>
      </c>
    </row>
    <row r="6" spans="1:14" x14ac:dyDescent="0.25">
      <c r="A6" s="1" t="s">
        <v>0</v>
      </c>
      <c r="B6" s="1" t="s">
        <v>21</v>
      </c>
      <c r="C6">
        <v>11</v>
      </c>
      <c r="D6">
        <v>12</v>
      </c>
      <c r="E6">
        <v>1</v>
      </c>
      <c r="F6">
        <v>2</v>
      </c>
      <c r="G6">
        <v>3</v>
      </c>
      <c r="H6">
        <v>4</v>
      </c>
      <c r="I6">
        <v>5</v>
      </c>
      <c r="J6">
        <v>6</v>
      </c>
      <c r="K6">
        <v>7</v>
      </c>
      <c r="L6">
        <v>8</v>
      </c>
      <c r="M6">
        <v>9</v>
      </c>
      <c r="N6" t="s">
        <v>11</v>
      </c>
    </row>
    <row r="7" spans="1:14" x14ac:dyDescent="0.25">
      <c r="A7" t="s">
        <v>1</v>
      </c>
      <c r="B7" t="s">
        <v>12</v>
      </c>
      <c r="C7" s="2"/>
      <c r="D7" s="2">
        <v>267395</v>
      </c>
      <c r="E7" s="2">
        <v>245388.22489959846</v>
      </c>
      <c r="F7" s="2">
        <v>372901.65317056479</v>
      </c>
      <c r="G7" s="2"/>
      <c r="H7" s="2">
        <v>2811.2449799196784</v>
      </c>
      <c r="I7" s="2"/>
      <c r="J7" s="2"/>
      <c r="K7" s="2"/>
      <c r="L7" s="2"/>
      <c r="M7" s="2"/>
      <c r="N7" s="2">
        <v>888496.12305008247</v>
      </c>
    </row>
    <row r="8" spans="1:14" x14ac:dyDescent="0.25">
      <c r="B8" t="s">
        <v>13</v>
      </c>
      <c r="C8" s="2"/>
      <c r="D8" s="2"/>
      <c r="E8" s="2">
        <v>356691</v>
      </c>
      <c r="F8" s="2">
        <v>284400</v>
      </c>
      <c r="G8" s="2"/>
      <c r="H8" s="2"/>
      <c r="I8" s="2"/>
      <c r="J8" s="2"/>
      <c r="K8" s="2"/>
      <c r="L8" s="2"/>
      <c r="M8" s="2"/>
      <c r="N8" s="2">
        <v>641091</v>
      </c>
    </row>
    <row r="9" spans="1:14" x14ac:dyDescent="0.25">
      <c r="A9" t="s">
        <v>2</v>
      </c>
      <c r="B9" t="s">
        <v>12</v>
      </c>
      <c r="C9" s="2">
        <v>206591</v>
      </c>
      <c r="D9" s="2">
        <v>106042</v>
      </c>
      <c r="E9" s="2"/>
      <c r="F9" s="2"/>
      <c r="G9" s="2"/>
      <c r="H9" s="2"/>
      <c r="I9" s="2"/>
      <c r="J9" s="2"/>
      <c r="K9" s="2"/>
      <c r="L9" s="2"/>
      <c r="M9" s="2"/>
      <c r="N9" s="2">
        <v>312633</v>
      </c>
    </row>
    <row r="10" spans="1:14" x14ac:dyDescent="0.25">
      <c r="B10" t="s">
        <v>14</v>
      </c>
      <c r="C10" s="2">
        <v>15199</v>
      </c>
      <c r="D10" s="2">
        <v>153257</v>
      </c>
      <c r="E10" s="2"/>
      <c r="F10" s="2"/>
      <c r="G10" s="2"/>
      <c r="H10" s="2"/>
      <c r="I10" s="2"/>
      <c r="J10" s="2"/>
      <c r="K10" s="2"/>
      <c r="L10" s="2"/>
      <c r="M10" s="2"/>
      <c r="N10" s="2">
        <v>168456</v>
      </c>
    </row>
    <row r="11" spans="1:14" x14ac:dyDescent="0.25">
      <c r="A11" t="s">
        <v>3</v>
      </c>
      <c r="B11" t="s">
        <v>12</v>
      </c>
      <c r="C11" s="2">
        <v>142942</v>
      </c>
      <c r="D11" s="2">
        <v>167437</v>
      </c>
      <c r="E11" s="2"/>
      <c r="F11" s="2"/>
      <c r="G11" s="2"/>
      <c r="H11" s="2"/>
      <c r="I11" s="2"/>
      <c r="J11" s="2"/>
      <c r="K11" s="2"/>
      <c r="L11" s="2"/>
      <c r="M11" s="2"/>
      <c r="N11" s="2">
        <v>310379</v>
      </c>
    </row>
    <row r="12" spans="1:14" x14ac:dyDescent="0.25">
      <c r="B12" t="s">
        <v>13</v>
      </c>
      <c r="C12" s="2"/>
      <c r="D12" s="2">
        <v>105148</v>
      </c>
      <c r="E12" s="2"/>
      <c r="F12" s="2"/>
      <c r="G12" s="2"/>
      <c r="H12" s="2"/>
      <c r="I12" s="2"/>
      <c r="J12" s="2"/>
      <c r="K12" s="2"/>
      <c r="L12" s="2"/>
      <c r="M12" s="2"/>
      <c r="N12" s="2">
        <v>105148</v>
      </c>
    </row>
    <row r="13" spans="1:14" x14ac:dyDescent="0.25">
      <c r="A13" t="s">
        <v>4</v>
      </c>
      <c r="B13" t="s">
        <v>12</v>
      </c>
      <c r="C13" s="2"/>
      <c r="D13" s="2">
        <v>81057</v>
      </c>
      <c r="E13" s="2">
        <v>76220</v>
      </c>
      <c r="F13" s="2"/>
      <c r="G13" s="2"/>
      <c r="H13" s="2"/>
      <c r="I13" s="2"/>
      <c r="J13" s="2"/>
      <c r="K13" s="2"/>
      <c r="L13" s="2"/>
      <c r="M13" s="2"/>
      <c r="N13" s="2">
        <v>157277</v>
      </c>
    </row>
    <row r="14" spans="1:14" x14ac:dyDescent="0.25">
      <c r="A14" t="s">
        <v>5</v>
      </c>
      <c r="B14" t="s">
        <v>12</v>
      </c>
      <c r="C14" s="2"/>
      <c r="D14" s="2"/>
      <c r="E14" s="2"/>
      <c r="F14" s="2"/>
      <c r="G14" s="2">
        <v>517830.91082114127</v>
      </c>
      <c r="H14" s="2"/>
      <c r="I14" s="2"/>
      <c r="J14" s="2"/>
      <c r="K14" s="2"/>
      <c r="L14" s="2"/>
      <c r="M14" s="2"/>
      <c r="N14" s="2">
        <v>517830.91082114127</v>
      </c>
    </row>
    <row r="15" spans="1:14" x14ac:dyDescent="0.25">
      <c r="B15" t="s">
        <v>15</v>
      </c>
      <c r="C15" s="2"/>
      <c r="D15" s="2"/>
      <c r="E15" s="2"/>
      <c r="F15" s="2"/>
      <c r="G15" s="2">
        <v>380000</v>
      </c>
      <c r="H15" s="2">
        <v>200000</v>
      </c>
      <c r="I15" s="2"/>
      <c r="J15" s="2"/>
      <c r="K15" s="2"/>
      <c r="L15" s="2"/>
      <c r="M15" s="2"/>
      <c r="N15" s="2">
        <v>580000</v>
      </c>
    </row>
    <row r="16" spans="1:14" x14ac:dyDescent="0.25">
      <c r="B16" t="s">
        <v>13</v>
      </c>
      <c r="C16" s="2"/>
      <c r="D16" s="2"/>
      <c r="E16" s="2"/>
      <c r="F16" s="2"/>
      <c r="G16" s="2">
        <v>514119.87944523449</v>
      </c>
      <c r="H16" s="2">
        <v>2939831.8947758432</v>
      </c>
      <c r="I16" s="2">
        <v>176010.09694785139</v>
      </c>
      <c r="J16" s="2"/>
      <c r="K16" s="2"/>
      <c r="L16" s="2"/>
      <c r="M16" s="2"/>
      <c r="N16" s="2">
        <v>3629961.8711689292</v>
      </c>
    </row>
    <row r="17" spans="1:14" x14ac:dyDescent="0.25">
      <c r="A17" t="s">
        <v>6</v>
      </c>
      <c r="B17" t="s">
        <v>16</v>
      </c>
      <c r="C17" s="2"/>
      <c r="D17" s="2"/>
      <c r="E17" s="2"/>
      <c r="F17" s="2"/>
      <c r="G17" s="2"/>
      <c r="H17" s="2"/>
      <c r="I17" s="2">
        <v>822150</v>
      </c>
      <c r="J17" s="2">
        <v>1840475.5255</v>
      </c>
      <c r="K17" s="2">
        <v>731715.45014000009</v>
      </c>
      <c r="L17" s="2">
        <v>846663.68000000005</v>
      </c>
      <c r="M17" s="2">
        <v>619626.163328</v>
      </c>
      <c r="N17" s="2">
        <v>4860630.8189679999</v>
      </c>
    </row>
    <row r="18" spans="1:14" x14ac:dyDescent="0.25">
      <c r="A18" t="s">
        <v>7</v>
      </c>
      <c r="B18" t="s">
        <v>12</v>
      </c>
      <c r="C18" s="2"/>
      <c r="D18" s="2"/>
      <c r="E18" s="2"/>
      <c r="F18" s="2"/>
      <c r="G18" s="2"/>
      <c r="H18" s="2"/>
      <c r="I18" s="2"/>
      <c r="J18" s="2"/>
      <c r="K18" s="2">
        <v>1810416.6666666667</v>
      </c>
      <c r="L18" s="2">
        <v>1889583.3333333319</v>
      </c>
      <c r="M18" s="2"/>
      <c r="N18" s="2">
        <v>3700000.0000000023</v>
      </c>
    </row>
    <row r="19" spans="1:14" x14ac:dyDescent="0.25">
      <c r="B19" t="s">
        <v>17</v>
      </c>
      <c r="C19" s="2"/>
      <c r="D19" s="2"/>
      <c r="E19" s="2"/>
      <c r="F19" s="2"/>
      <c r="G19" s="2"/>
      <c r="H19" s="2"/>
      <c r="I19" s="2"/>
      <c r="J19" s="2"/>
      <c r="K19" s="2">
        <v>64050</v>
      </c>
      <c r="L19" s="2">
        <v>491569</v>
      </c>
      <c r="M19" s="2">
        <v>579252</v>
      </c>
      <c r="N19" s="2">
        <v>1134871</v>
      </c>
    </row>
    <row r="20" spans="1:14" x14ac:dyDescent="0.25">
      <c r="A20" t="s">
        <v>8</v>
      </c>
      <c r="B20" t="s">
        <v>12</v>
      </c>
      <c r="C20" s="2"/>
      <c r="D20" s="2"/>
      <c r="E20" s="2"/>
      <c r="F20" s="2"/>
      <c r="G20" s="2"/>
      <c r="H20" s="2"/>
      <c r="I20" s="2"/>
      <c r="J20" s="2">
        <v>20833.333333333332</v>
      </c>
      <c r="K20" s="2">
        <v>229166.66666666674</v>
      </c>
      <c r="L20" s="2"/>
      <c r="M20" s="2"/>
      <c r="N20" s="2">
        <v>250000.00000000006</v>
      </c>
    </row>
    <row r="21" spans="1:14" x14ac:dyDescent="0.25">
      <c r="A21" t="s">
        <v>9</v>
      </c>
      <c r="B21" t="s">
        <v>12</v>
      </c>
      <c r="C21" s="2">
        <v>1499592</v>
      </c>
      <c r="D21" s="2">
        <v>2298885</v>
      </c>
      <c r="E21" s="2">
        <v>1356854</v>
      </c>
      <c r="F21" s="2">
        <v>182409.61511256514</v>
      </c>
      <c r="G21" s="2"/>
      <c r="H21" s="2"/>
      <c r="I21" s="2"/>
      <c r="J21" s="2"/>
      <c r="K21" s="2"/>
      <c r="L21" s="2"/>
      <c r="M21" s="2"/>
      <c r="N21" s="2">
        <v>5337740.6151125636</v>
      </c>
    </row>
    <row r="22" spans="1:14" x14ac:dyDescent="0.25">
      <c r="B22" t="s">
        <v>18</v>
      </c>
      <c r="C22" s="2"/>
      <c r="D22" s="2">
        <v>151490</v>
      </c>
      <c r="E22" s="2"/>
      <c r="F22" s="2"/>
      <c r="G22" s="2"/>
      <c r="H22" s="2"/>
      <c r="I22" s="2"/>
      <c r="J22" s="2"/>
      <c r="K22" s="2"/>
      <c r="L22" s="2"/>
      <c r="M22" s="2"/>
      <c r="N22" s="2">
        <v>151490</v>
      </c>
    </row>
    <row r="23" spans="1:14" x14ac:dyDescent="0.25">
      <c r="B23" t="s">
        <v>19</v>
      </c>
      <c r="C23" s="2"/>
      <c r="D23" s="2">
        <v>21219</v>
      </c>
      <c r="E23" s="2"/>
      <c r="F23" s="2"/>
      <c r="G23" s="2"/>
      <c r="H23" s="2"/>
      <c r="I23" s="2"/>
      <c r="J23" s="2"/>
      <c r="K23" s="2"/>
      <c r="L23" s="2"/>
      <c r="M23" s="2"/>
      <c r="N23" s="2">
        <v>21219</v>
      </c>
    </row>
    <row r="24" spans="1:14" x14ac:dyDescent="0.25">
      <c r="B24" t="s">
        <v>13</v>
      </c>
      <c r="C24" s="2"/>
      <c r="D24" s="2">
        <v>400651</v>
      </c>
      <c r="E24" s="2">
        <v>423115</v>
      </c>
      <c r="F24" s="2">
        <v>116400</v>
      </c>
      <c r="G24" s="2"/>
      <c r="H24" s="2"/>
      <c r="I24" s="2"/>
      <c r="J24" s="2"/>
      <c r="K24" s="2"/>
      <c r="L24" s="2"/>
      <c r="M24" s="2"/>
      <c r="N24" s="2">
        <v>940166</v>
      </c>
    </row>
    <row r="25" spans="1:14" x14ac:dyDescent="0.25">
      <c r="A25" t="s">
        <v>10</v>
      </c>
      <c r="B25" t="s">
        <v>12</v>
      </c>
      <c r="C25" s="2"/>
      <c r="D25" s="2"/>
      <c r="E25" s="2">
        <v>961707.29125684034</v>
      </c>
      <c r="F25" s="2">
        <v>313361.38738643518</v>
      </c>
      <c r="G25" s="2"/>
      <c r="H25" s="2"/>
      <c r="I25" s="2"/>
      <c r="J25" s="2"/>
      <c r="K25" s="2"/>
      <c r="L25" s="2"/>
      <c r="M25" s="2"/>
      <c r="N25" s="2">
        <v>1275068.6786432755</v>
      </c>
    </row>
    <row r="26" spans="1:14" x14ac:dyDescent="0.25">
      <c r="B26" t="s">
        <v>13</v>
      </c>
      <c r="C26" s="2"/>
      <c r="D26" s="2"/>
      <c r="E26" s="2">
        <v>57776</v>
      </c>
      <c r="F26" s="2"/>
      <c r="G26" s="2"/>
      <c r="H26" s="2"/>
      <c r="I26" s="2"/>
      <c r="J26" s="2"/>
      <c r="K26" s="2"/>
      <c r="L26" s="2"/>
      <c r="M26" s="2"/>
      <c r="N26" s="2">
        <v>57776</v>
      </c>
    </row>
    <row r="27" spans="1:14" x14ac:dyDescent="0.25">
      <c r="A27" t="s">
        <v>11</v>
      </c>
      <c r="C27" s="2">
        <v>1864324</v>
      </c>
      <c r="D27" s="2">
        <v>3752581</v>
      </c>
      <c r="E27" s="2">
        <v>3477751.5161564387</v>
      </c>
      <c r="F27" s="2">
        <v>1269472.6556695644</v>
      </c>
      <c r="G27" s="2">
        <v>1411950.7902663758</v>
      </c>
      <c r="H27" s="2">
        <v>3142643.1397557626</v>
      </c>
      <c r="I27" s="2">
        <v>998160.09694785136</v>
      </c>
      <c r="J27" s="2">
        <v>1861308.8588333335</v>
      </c>
      <c r="K27" s="2">
        <v>2835348.7834733333</v>
      </c>
      <c r="L27" s="2">
        <v>3227816.0133333318</v>
      </c>
      <c r="M27" s="2">
        <v>1198878.1633279999</v>
      </c>
      <c r="N27" s="2">
        <v>25040235.017763983</v>
      </c>
    </row>
    <row r="28" spans="1:14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25">
      <c r="B30" s="3" t="s">
        <v>24</v>
      </c>
      <c r="C30" s="3" t="s">
        <v>25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x14ac:dyDescent="0.25">
      <c r="B31" s="3" t="s">
        <v>26</v>
      </c>
      <c r="C31" s="4">
        <v>46007</v>
      </c>
    </row>
    <row r="32" spans="1:14" x14ac:dyDescent="0.25">
      <c r="B32" s="8" t="s">
        <v>28</v>
      </c>
      <c r="C32" s="9"/>
    </row>
    <row r="33" spans="1:14" x14ac:dyDescent="0.25">
      <c r="A33" s="1" t="s">
        <v>23</v>
      </c>
      <c r="C33" s="1" t="s">
        <v>22</v>
      </c>
    </row>
    <row r="34" spans="1:14" x14ac:dyDescent="0.25">
      <c r="A34" s="1" t="s">
        <v>0</v>
      </c>
      <c r="B34" s="1" t="s">
        <v>21</v>
      </c>
      <c r="C34">
        <v>11</v>
      </c>
      <c r="D34">
        <v>12</v>
      </c>
      <c r="E34">
        <v>1</v>
      </c>
      <c r="F34">
        <v>2</v>
      </c>
      <c r="G34">
        <v>3</v>
      </c>
      <c r="H34">
        <v>4</v>
      </c>
      <c r="I34">
        <v>5</v>
      </c>
      <c r="J34">
        <v>6</v>
      </c>
      <c r="K34">
        <v>7</v>
      </c>
      <c r="L34">
        <v>8</v>
      </c>
      <c r="M34">
        <v>9</v>
      </c>
      <c r="N34" t="s">
        <v>11</v>
      </c>
    </row>
    <row r="35" spans="1:14" x14ac:dyDescent="0.25">
      <c r="A35" t="s">
        <v>1</v>
      </c>
      <c r="B35" t="s">
        <v>12</v>
      </c>
      <c r="C35" s="2"/>
      <c r="D35" s="2">
        <v>213916</v>
      </c>
      <c r="E35" s="2">
        <v>196310.57991967874</v>
      </c>
      <c r="F35" s="2">
        <v>298321.32253645174</v>
      </c>
      <c r="G35" s="2"/>
      <c r="H35" s="2">
        <v>2248.995983935743</v>
      </c>
      <c r="I35" s="2"/>
      <c r="J35" s="2"/>
      <c r="K35" s="2"/>
      <c r="L35" s="2"/>
      <c r="M35" s="2"/>
      <c r="N35" s="2">
        <v>710796.89844006614</v>
      </c>
    </row>
    <row r="36" spans="1:14" x14ac:dyDescent="0.25">
      <c r="B36" t="s">
        <v>13</v>
      </c>
      <c r="C36" s="2"/>
      <c r="D36" s="2"/>
      <c r="E36" s="2">
        <v>321021.90000000002</v>
      </c>
      <c r="F36" s="2">
        <v>255960</v>
      </c>
      <c r="G36" s="2"/>
      <c r="H36" s="2"/>
      <c r="I36" s="2"/>
      <c r="J36" s="2"/>
      <c r="K36" s="2"/>
      <c r="L36" s="2"/>
      <c r="M36" s="2"/>
      <c r="N36" s="2">
        <v>576981.9</v>
      </c>
    </row>
    <row r="37" spans="1:14" x14ac:dyDescent="0.25">
      <c r="A37" t="s">
        <v>2</v>
      </c>
      <c r="B37" t="s">
        <v>12</v>
      </c>
      <c r="C37" s="2">
        <v>165272.80000000002</v>
      </c>
      <c r="D37" s="2">
        <v>84833.600000000006</v>
      </c>
      <c r="E37" s="2"/>
      <c r="F37" s="2"/>
      <c r="G37" s="2"/>
      <c r="H37" s="2"/>
      <c r="I37" s="2"/>
      <c r="J37" s="2"/>
      <c r="K37" s="2"/>
      <c r="L37" s="2"/>
      <c r="M37" s="2"/>
      <c r="N37" s="2">
        <v>250106.40000000002</v>
      </c>
    </row>
    <row r="38" spans="1:14" x14ac:dyDescent="0.25">
      <c r="B38" t="s">
        <v>14</v>
      </c>
      <c r="C38" s="2">
        <v>12159.2</v>
      </c>
      <c r="D38" s="2">
        <v>122605.6</v>
      </c>
      <c r="E38" s="2"/>
      <c r="F38" s="2"/>
      <c r="G38" s="2"/>
      <c r="H38" s="2"/>
      <c r="I38" s="2"/>
      <c r="J38" s="2"/>
      <c r="K38" s="2"/>
      <c r="L38" s="2"/>
      <c r="M38" s="2"/>
      <c r="N38" s="2">
        <v>134764.79999999999</v>
      </c>
    </row>
    <row r="39" spans="1:14" x14ac:dyDescent="0.25">
      <c r="A39" t="s">
        <v>3</v>
      </c>
      <c r="B39" t="s">
        <v>12</v>
      </c>
      <c r="C39" s="2">
        <v>114353.60000000001</v>
      </c>
      <c r="D39" s="2">
        <v>133949.6</v>
      </c>
      <c r="E39" s="2"/>
      <c r="F39" s="2"/>
      <c r="G39" s="2"/>
      <c r="H39" s="2"/>
      <c r="I39" s="2"/>
      <c r="J39" s="2"/>
      <c r="K39" s="2"/>
      <c r="L39" s="2"/>
      <c r="M39" s="2"/>
      <c r="N39" s="2">
        <v>248303.19999999998</v>
      </c>
    </row>
    <row r="40" spans="1:14" x14ac:dyDescent="0.25">
      <c r="B40" t="s">
        <v>13</v>
      </c>
      <c r="C40" s="2"/>
      <c r="D40" s="2">
        <v>84118.399999999994</v>
      </c>
      <c r="E40" s="2"/>
      <c r="F40" s="2"/>
      <c r="G40" s="2"/>
      <c r="H40" s="2"/>
      <c r="I40" s="2"/>
      <c r="J40" s="2"/>
      <c r="K40" s="2"/>
      <c r="L40" s="2"/>
      <c r="M40" s="2"/>
      <c r="N40" s="2">
        <v>84118.399999999994</v>
      </c>
    </row>
    <row r="41" spans="1:14" x14ac:dyDescent="0.25">
      <c r="A41" t="s">
        <v>4</v>
      </c>
      <c r="B41" t="s">
        <v>12</v>
      </c>
      <c r="C41" s="2"/>
      <c r="D41" s="2">
        <v>64845.600000000006</v>
      </c>
      <c r="E41" s="2">
        <v>60976</v>
      </c>
      <c r="F41" s="2"/>
      <c r="G41" s="2"/>
      <c r="H41" s="2"/>
      <c r="I41" s="2"/>
      <c r="J41" s="2"/>
      <c r="K41" s="2"/>
      <c r="L41" s="2"/>
      <c r="M41" s="2"/>
      <c r="N41" s="2">
        <v>125821.6</v>
      </c>
    </row>
    <row r="42" spans="1:14" x14ac:dyDescent="0.25">
      <c r="A42" t="s">
        <v>5</v>
      </c>
      <c r="B42" t="s">
        <v>12</v>
      </c>
      <c r="C42" s="2"/>
      <c r="D42" s="2"/>
      <c r="E42" s="2"/>
      <c r="F42" s="2"/>
      <c r="G42" s="2">
        <v>414264.72865691315</v>
      </c>
      <c r="H42" s="2"/>
      <c r="I42" s="2"/>
      <c r="J42" s="2"/>
      <c r="K42" s="2"/>
      <c r="L42" s="2"/>
      <c r="M42" s="2"/>
      <c r="N42" s="2">
        <v>414264.72865691315</v>
      </c>
    </row>
    <row r="43" spans="1:14" x14ac:dyDescent="0.25">
      <c r="B43" t="s">
        <v>15</v>
      </c>
      <c r="C43" s="2"/>
      <c r="D43" s="2"/>
      <c r="E43" s="2"/>
      <c r="F43" s="2"/>
      <c r="G43" s="2">
        <v>304000</v>
      </c>
      <c r="H43" s="2">
        <v>160000</v>
      </c>
      <c r="I43" s="2"/>
      <c r="J43" s="2"/>
      <c r="K43" s="2"/>
      <c r="L43" s="2"/>
      <c r="M43" s="2"/>
      <c r="N43" s="2">
        <v>464000</v>
      </c>
    </row>
    <row r="44" spans="1:14" x14ac:dyDescent="0.25">
      <c r="B44" t="s">
        <v>13</v>
      </c>
      <c r="C44" s="2"/>
      <c r="D44" s="2"/>
      <c r="E44" s="2"/>
      <c r="F44" s="2"/>
      <c r="G44" s="2">
        <v>411295.90355618764</v>
      </c>
      <c r="H44" s="2">
        <v>2351865.5158206746</v>
      </c>
      <c r="I44" s="2">
        <v>140808.0775582811</v>
      </c>
      <c r="J44" s="2"/>
      <c r="K44" s="2"/>
      <c r="L44" s="2"/>
      <c r="M44" s="2"/>
      <c r="N44" s="2">
        <v>2903969.4969351431</v>
      </c>
    </row>
    <row r="45" spans="1:14" x14ac:dyDescent="0.25">
      <c r="A45" t="s">
        <v>6</v>
      </c>
      <c r="B45" t="s">
        <v>16</v>
      </c>
      <c r="C45" s="2"/>
      <c r="D45" s="2"/>
      <c r="E45" s="2"/>
      <c r="F45" s="2"/>
      <c r="G45" s="2"/>
      <c r="H45" s="2"/>
      <c r="I45" s="2">
        <v>657720</v>
      </c>
      <c r="J45" s="2">
        <v>1472380.4203999999</v>
      </c>
      <c r="K45" s="2">
        <v>585372.36011200002</v>
      </c>
      <c r="L45" s="2">
        <v>677330.9439999999</v>
      </c>
      <c r="M45" s="2">
        <v>495700.93066240009</v>
      </c>
      <c r="N45" s="2">
        <v>3888504.6551743997</v>
      </c>
    </row>
    <row r="46" spans="1:14" x14ac:dyDescent="0.25">
      <c r="A46" t="s">
        <v>7</v>
      </c>
      <c r="B46" t="s">
        <v>12</v>
      </c>
      <c r="C46" s="2"/>
      <c r="D46" s="2"/>
      <c r="E46" s="2"/>
      <c r="F46" s="2"/>
      <c r="G46" s="2"/>
      <c r="H46" s="2"/>
      <c r="I46" s="2"/>
      <c r="J46" s="2"/>
      <c r="K46" s="2">
        <v>1448333.3333333337</v>
      </c>
      <c r="L46" s="2">
        <v>1511666.6666666674</v>
      </c>
      <c r="M46" s="2"/>
      <c r="N46" s="2">
        <v>2959999.9999999963</v>
      </c>
    </row>
    <row r="47" spans="1:14" x14ac:dyDescent="0.25">
      <c r="B47" t="s">
        <v>17</v>
      </c>
      <c r="C47" s="2"/>
      <c r="D47" s="2"/>
      <c r="E47" s="2"/>
      <c r="F47" s="2"/>
      <c r="G47" s="2"/>
      <c r="H47" s="2"/>
      <c r="I47" s="2"/>
      <c r="J47" s="2"/>
      <c r="K47" s="2">
        <v>51240</v>
      </c>
      <c r="L47" s="2">
        <v>393255.2</v>
      </c>
      <c r="M47" s="2">
        <v>463401.60000000003</v>
      </c>
      <c r="N47" s="2">
        <v>907896.8</v>
      </c>
    </row>
    <row r="48" spans="1:14" x14ac:dyDescent="0.25">
      <c r="A48" t="s">
        <v>8</v>
      </c>
      <c r="B48" t="s">
        <v>12</v>
      </c>
      <c r="C48" s="2"/>
      <c r="D48" s="2"/>
      <c r="E48" s="2"/>
      <c r="F48" s="2"/>
      <c r="G48" s="2"/>
      <c r="H48" s="2"/>
      <c r="I48" s="2"/>
      <c r="J48" s="2">
        <v>16666.666666666668</v>
      </c>
      <c r="K48" s="2">
        <v>183333.33333333334</v>
      </c>
      <c r="L48" s="2"/>
      <c r="M48" s="2"/>
      <c r="N48" s="2">
        <v>200000</v>
      </c>
    </row>
    <row r="49" spans="1:14" x14ac:dyDescent="0.25">
      <c r="A49" t="s">
        <v>9</v>
      </c>
      <c r="B49" t="s">
        <v>12</v>
      </c>
      <c r="C49" s="2">
        <v>1199673.6000000001</v>
      </c>
      <c r="D49" s="2">
        <v>1839108</v>
      </c>
      <c r="E49" s="2">
        <v>1085483.2</v>
      </c>
      <c r="F49" s="2">
        <v>145927.69209005209</v>
      </c>
      <c r="G49" s="2"/>
      <c r="H49" s="2"/>
      <c r="I49" s="2"/>
      <c r="J49" s="2"/>
      <c r="K49" s="2"/>
      <c r="L49" s="2"/>
      <c r="M49" s="2"/>
      <c r="N49" s="2">
        <v>4270192.4920900529</v>
      </c>
    </row>
    <row r="50" spans="1:14" x14ac:dyDescent="0.25">
      <c r="B50" t="s">
        <v>18</v>
      </c>
      <c r="C50" s="2"/>
      <c r="D50" s="2">
        <v>121192</v>
      </c>
      <c r="E50" s="2"/>
      <c r="F50" s="2"/>
      <c r="G50" s="2"/>
      <c r="H50" s="2"/>
      <c r="I50" s="2"/>
      <c r="J50" s="2"/>
      <c r="K50" s="2"/>
      <c r="L50" s="2"/>
      <c r="M50" s="2"/>
      <c r="N50" s="2">
        <v>121192</v>
      </c>
    </row>
    <row r="51" spans="1:14" x14ac:dyDescent="0.25">
      <c r="B51" t="s">
        <v>19</v>
      </c>
      <c r="C51" s="2"/>
      <c r="D51" s="2">
        <v>16975.2</v>
      </c>
      <c r="E51" s="2"/>
      <c r="F51" s="2"/>
      <c r="G51" s="2"/>
      <c r="H51" s="2"/>
      <c r="I51" s="2"/>
      <c r="J51" s="2"/>
      <c r="K51" s="2"/>
      <c r="L51" s="2"/>
      <c r="M51" s="2"/>
      <c r="N51" s="2">
        <v>16975.2</v>
      </c>
    </row>
    <row r="52" spans="1:14" x14ac:dyDescent="0.25">
      <c r="B52" t="s">
        <v>13</v>
      </c>
      <c r="C52" s="2"/>
      <c r="D52" s="2">
        <v>320520.8000000001</v>
      </c>
      <c r="E52" s="2">
        <v>338492</v>
      </c>
      <c r="F52" s="2">
        <v>93120</v>
      </c>
      <c r="G52" s="2"/>
      <c r="H52" s="2"/>
      <c r="I52" s="2"/>
      <c r="J52" s="2"/>
      <c r="K52" s="2"/>
      <c r="L52" s="2"/>
      <c r="M52" s="2"/>
      <c r="N52" s="2">
        <v>752132.80000000016</v>
      </c>
    </row>
    <row r="53" spans="1:14" x14ac:dyDescent="0.25">
      <c r="A53" t="s">
        <v>10</v>
      </c>
      <c r="B53" t="s">
        <v>12</v>
      </c>
      <c r="C53" s="2"/>
      <c r="D53" s="2"/>
      <c r="E53" s="2">
        <v>769365.83300547255</v>
      </c>
      <c r="F53" s="2">
        <v>250689.10990914816</v>
      </c>
      <c r="G53" s="2"/>
      <c r="H53" s="2"/>
      <c r="I53" s="2"/>
      <c r="J53" s="2"/>
      <c r="K53" s="2"/>
      <c r="L53" s="2"/>
      <c r="M53" s="2"/>
      <c r="N53" s="2">
        <v>1020054.942914621</v>
      </c>
    </row>
    <row r="54" spans="1:14" x14ac:dyDescent="0.25">
      <c r="B54" t="s">
        <v>13</v>
      </c>
      <c r="C54" s="2"/>
      <c r="D54" s="2"/>
      <c r="E54" s="2">
        <v>46220.800000000003</v>
      </c>
      <c r="F54" s="2"/>
      <c r="G54" s="2"/>
      <c r="H54" s="2"/>
      <c r="I54" s="2"/>
      <c r="J54" s="2"/>
      <c r="K54" s="2"/>
      <c r="L54" s="2"/>
      <c r="M54" s="2"/>
      <c r="N54" s="2">
        <v>46220.800000000003</v>
      </c>
    </row>
    <row r="55" spans="1:14" x14ac:dyDescent="0.25">
      <c r="A55" t="s">
        <v>11</v>
      </c>
      <c r="C55" s="2">
        <v>1491459.2</v>
      </c>
      <c r="D55" s="2">
        <v>3002064.8000000003</v>
      </c>
      <c r="E55" s="2">
        <v>2817870.3129251511</v>
      </c>
      <c r="F55" s="2">
        <v>1044018.1245356527</v>
      </c>
      <c r="G55" s="2">
        <v>1129560.6322131008</v>
      </c>
      <c r="H55" s="2">
        <v>2514114.5118046105</v>
      </c>
      <c r="I55" s="2">
        <v>798528.07755828113</v>
      </c>
      <c r="J55" s="2">
        <v>1489047.0870666667</v>
      </c>
      <c r="K55" s="2">
        <v>2268279.0267786672</v>
      </c>
      <c r="L55" s="2">
        <v>2582252.8106666678</v>
      </c>
      <c r="M55" s="2">
        <v>959102.53066239995</v>
      </c>
      <c r="N55" s="2">
        <v>20096297.114211187</v>
      </c>
    </row>
  </sheetData>
  <mergeCells count="2">
    <mergeCell ref="B4:C4"/>
    <mergeCell ref="B32:C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BE6E3-1CE3-4A5E-B7F0-CF7296B7F0B7}">
  <dimension ref="A1:R89"/>
  <sheetViews>
    <sheetView showGridLines="0" topLeftCell="A10" zoomScale="85" zoomScaleNormal="85" workbookViewId="0">
      <selection activeCell="F13" sqref="F13"/>
    </sheetView>
  </sheetViews>
  <sheetFormatPr baseColWidth="10" defaultRowHeight="15" x14ac:dyDescent="0.25"/>
  <cols>
    <col min="1" max="1" width="20.28515625" bestFit="1" customWidth="1"/>
    <col min="2" max="2" width="14.140625" bestFit="1" customWidth="1"/>
    <col min="3" max="13" width="10.28515625" bestFit="1" customWidth="1"/>
    <col min="14" max="14" width="12.5703125" bestFit="1" customWidth="1"/>
  </cols>
  <sheetData>
    <row r="1" spans="1:18" x14ac:dyDescent="0.25">
      <c r="E1" s="3" t="s">
        <v>24</v>
      </c>
      <c r="F1" s="3" t="s">
        <v>25</v>
      </c>
    </row>
    <row r="2" spans="1:18" x14ac:dyDescent="0.25">
      <c r="E2" s="3" t="s">
        <v>26</v>
      </c>
      <c r="F2" s="4">
        <v>46007</v>
      </c>
    </row>
    <row r="3" spans="1:18" x14ac:dyDescent="0.25">
      <c r="E3" s="8" t="s">
        <v>30</v>
      </c>
      <c r="F3" s="9"/>
    </row>
    <row r="4" spans="1:18" x14ac:dyDescent="0.25">
      <c r="A4" s="1" t="s">
        <v>29</v>
      </c>
      <c r="C4" s="1" t="s">
        <v>22</v>
      </c>
    </row>
    <row r="5" spans="1:18" x14ac:dyDescent="0.25">
      <c r="A5" s="1" t="s">
        <v>0</v>
      </c>
      <c r="B5" s="1" t="s">
        <v>21</v>
      </c>
      <c r="C5">
        <v>11</v>
      </c>
      <c r="D5">
        <v>12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 t="s">
        <v>11</v>
      </c>
    </row>
    <row r="6" spans="1:18" x14ac:dyDescent="0.25">
      <c r="A6" t="s">
        <v>1</v>
      </c>
      <c r="B6" t="s">
        <v>12</v>
      </c>
      <c r="C6" s="5"/>
      <c r="D6" s="5">
        <v>41553.182999999997</v>
      </c>
      <c r="E6" s="5">
        <v>38133.330149397574</v>
      </c>
      <c r="F6" s="5">
        <v>57948.916902705721</v>
      </c>
      <c r="G6" s="5"/>
      <c r="H6" s="5">
        <v>436.86746987951807</v>
      </c>
      <c r="I6" s="5"/>
      <c r="J6" s="5"/>
      <c r="K6" s="5"/>
      <c r="L6" s="5"/>
      <c r="M6" s="5"/>
      <c r="N6" s="5">
        <v>138072.29752198289</v>
      </c>
    </row>
    <row r="7" spans="1:18" x14ac:dyDescent="0.25">
      <c r="B7" t="s">
        <v>13</v>
      </c>
      <c r="C7" s="5"/>
      <c r="D7" s="5"/>
      <c r="E7" s="5">
        <v>77080.925099999993</v>
      </c>
      <c r="F7" s="5">
        <v>61458.839999999989</v>
      </c>
      <c r="G7" s="5"/>
      <c r="H7" s="5"/>
      <c r="I7" s="5"/>
      <c r="J7" s="5"/>
      <c r="K7" s="5"/>
      <c r="L7" s="5"/>
      <c r="M7" s="5"/>
      <c r="N7" s="5">
        <v>138539.76509999999</v>
      </c>
    </row>
    <row r="8" spans="1:18" x14ac:dyDescent="0.25">
      <c r="A8" t="s">
        <v>2</v>
      </c>
      <c r="B8" t="s">
        <v>12</v>
      </c>
      <c r="C8" s="5">
        <v>74538.032800000001</v>
      </c>
      <c r="D8" s="5">
        <v>38259.953600000001</v>
      </c>
      <c r="E8" s="5"/>
      <c r="F8" s="5"/>
      <c r="G8" s="5"/>
      <c r="H8" s="5"/>
      <c r="I8" s="5"/>
      <c r="J8" s="5"/>
      <c r="K8" s="5"/>
      <c r="L8" s="5"/>
      <c r="M8" s="5"/>
      <c r="N8" s="5">
        <v>112797.98639999999</v>
      </c>
    </row>
    <row r="9" spans="1:18" x14ac:dyDescent="0.25">
      <c r="B9" t="s">
        <v>14</v>
      </c>
      <c r="C9" s="5">
        <v>5945.8487999999998</v>
      </c>
      <c r="D9" s="5">
        <v>59954.138399999996</v>
      </c>
      <c r="E9" s="5"/>
      <c r="F9" s="5"/>
      <c r="G9" s="5"/>
      <c r="H9" s="5"/>
      <c r="I9" s="5"/>
      <c r="J9" s="5"/>
      <c r="K9" s="5"/>
      <c r="L9" s="5"/>
      <c r="M9" s="5"/>
      <c r="N9" s="5">
        <v>65899.987200000003</v>
      </c>
      <c r="R9">
        <v>74538.03</v>
      </c>
    </row>
    <row r="10" spans="1:18" x14ac:dyDescent="0.25">
      <c r="A10" t="s">
        <v>3</v>
      </c>
      <c r="B10" t="s">
        <v>12</v>
      </c>
      <c r="C10" s="5">
        <v>20998.179799999998</v>
      </c>
      <c r="D10" s="5">
        <v>24596.495300000002</v>
      </c>
      <c r="E10" s="5"/>
      <c r="F10" s="5"/>
      <c r="G10" s="5"/>
      <c r="H10" s="5"/>
      <c r="I10" s="5"/>
      <c r="J10" s="5"/>
      <c r="K10" s="5"/>
      <c r="L10" s="5"/>
      <c r="M10" s="5"/>
      <c r="N10" s="5">
        <v>45594.6751</v>
      </c>
    </row>
    <row r="11" spans="1:18" x14ac:dyDescent="0.25">
      <c r="B11" t="s">
        <v>13</v>
      </c>
      <c r="C11" s="5"/>
      <c r="D11" s="5">
        <v>14089.832</v>
      </c>
      <c r="E11" s="5"/>
      <c r="F11" s="5"/>
      <c r="G11" s="5"/>
      <c r="H11" s="5"/>
      <c r="I11" s="5"/>
      <c r="J11" s="5"/>
      <c r="K11" s="5"/>
      <c r="L11" s="5"/>
      <c r="M11" s="5"/>
      <c r="N11" s="5">
        <v>14089.832</v>
      </c>
    </row>
    <row r="12" spans="1:18" x14ac:dyDescent="0.25">
      <c r="A12" t="s">
        <v>4</v>
      </c>
      <c r="B12" t="s">
        <v>12</v>
      </c>
      <c r="C12" s="5"/>
      <c r="D12" s="5">
        <v>11907.273300000001</v>
      </c>
      <c r="E12" s="5">
        <v>11196.717999999999</v>
      </c>
      <c r="F12" s="5"/>
      <c r="G12" s="5"/>
      <c r="H12" s="5"/>
      <c r="I12" s="5"/>
      <c r="J12" s="5"/>
      <c r="K12" s="5"/>
      <c r="L12" s="5"/>
      <c r="M12" s="5"/>
      <c r="N12" s="5">
        <v>23103.991299999998</v>
      </c>
    </row>
    <row r="13" spans="1:18" x14ac:dyDescent="0.25">
      <c r="A13" t="s">
        <v>5</v>
      </c>
      <c r="B13" t="s">
        <v>12</v>
      </c>
      <c r="C13" s="5"/>
      <c r="D13" s="5"/>
      <c r="E13" s="5"/>
      <c r="F13" s="5"/>
      <c r="G13" s="5">
        <v>65402.04403671014</v>
      </c>
      <c r="H13" s="5"/>
      <c r="I13" s="5"/>
      <c r="J13" s="5"/>
      <c r="K13" s="5"/>
      <c r="L13" s="5"/>
      <c r="M13" s="5"/>
      <c r="N13" s="5">
        <v>65402.04403671014</v>
      </c>
    </row>
    <row r="14" spans="1:18" x14ac:dyDescent="0.25">
      <c r="B14" t="s">
        <v>15</v>
      </c>
      <c r="C14" s="5"/>
      <c r="D14" s="5"/>
      <c r="E14" s="5"/>
      <c r="F14" s="5"/>
      <c r="G14" s="5">
        <v>47994</v>
      </c>
      <c r="H14" s="5">
        <v>25260</v>
      </c>
      <c r="I14" s="5"/>
      <c r="J14" s="5"/>
      <c r="K14" s="5"/>
      <c r="L14" s="5"/>
      <c r="M14" s="5"/>
      <c r="N14" s="5">
        <v>73254</v>
      </c>
    </row>
    <row r="15" spans="1:18" x14ac:dyDescent="0.25">
      <c r="B15" t="s">
        <v>13</v>
      </c>
      <c r="C15" s="5"/>
      <c r="D15" s="5"/>
      <c r="E15" s="5"/>
      <c r="F15" s="5"/>
      <c r="G15" s="5">
        <v>64470.632882432408</v>
      </c>
      <c r="H15" s="5">
        <v>368654.91960489075</v>
      </c>
      <c r="I15" s="5">
        <v>22071.666157260566</v>
      </c>
      <c r="J15" s="5"/>
      <c r="K15" s="5"/>
      <c r="L15" s="5"/>
      <c r="M15" s="5"/>
      <c r="N15" s="5">
        <v>455197.21864458371</v>
      </c>
    </row>
    <row r="16" spans="1:18" x14ac:dyDescent="0.25">
      <c r="A16" t="s">
        <v>6</v>
      </c>
      <c r="B16" t="s">
        <v>16</v>
      </c>
      <c r="C16" s="5"/>
      <c r="D16" s="5"/>
      <c r="E16" s="5"/>
      <c r="F16" s="5"/>
      <c r="G16" s="5"/>
      <c r="H16" s="5"/>
      <c r="I16" s="5">
        <v>149631.29999999999</v>
      </c>
      <c r="J16" s="5">
        <v>334966.54564099998</v>
      </c>
      <c r="K16" s="5">
        <v>133172.21192547999</v>
      </c>
      <c r="L16" s="5">
        <v>154092.78975999999</v>
      </c>
      <c r="M16" s="5">
        <v>112771.96172569599</v>
      </c>
      <c r="N16" s="5">
        <v>884634.80905217596</v>
      </c>
    </row>
    <row r="17" spans="1:14" x14ac:dyDescent="0.25">
      <c r="A17" t="s">
        <v>7</v>
      </c>
      <c r="B17" t="s">
        <v>12</v>
      </c>
      <c r="C17" s="5"/>
      <c r="D17" s="5"/>
      <c r="E17" s="5"/>
      <c r="F17" s="5"/>
      <c r="G17" s="5"/>
      <c r="H17" s="5"/>
      <c r="I17" s="5"/>
      <c r="J17" s="5"/>
      <c r="K17" s="5">
        <v>224129.58333333334</v>
      </c>
      <c r="L17" s="5">
        <v>233930.41666666651</v>
      </c>
      <c r="M17" s="5"/>
      <c r="N17" s="5">
        <v>458060.00000000035</v>
      </c>
    </row>
    <row r="18" spans="1:14" x14ac:dyDescent="0.25">
      <c r="B18" t="s">
        <v>17</v>
      </c>
      <c r="C18" s="5"/>
      <c r="D18" s="5"/>
      <c r="E18" s="5"/>
      <c r="F18" s="5"/>
      <c r="G18" s="5"/>
      <c r="H18" s="5"/>
      <c r="I18" s="5"/>
      <c r="J18" s="5"/>
      <c r="K18" s="5">
        <v>9754.8149999999987</v>
      </c>
      <c r="L18" s="5">
        <v>74865.958700000003</v>
      </c>
      <c r="M18" s="5">
        <v>88220.079599999997</v>
      </c>
      <c r="N18" s="5">
        <v>172840.85329999999</v>
      </c>
    </row>
    <row r="19" spans="1:14" x14ac:dyDescent="0.25">
      <c r="A19" t="s">
        <v>8</v>
      </c>
      <c r="B19" t="s">
        <v>12</v>
      </c>
      <c r="C19" s="5"/>
      <c r="D19" s="5"/>
      <c r="E19" s="5"/>
      <c r="F19" s="5"/>
      <c r="G19" s="5"/>
      <c r="H19" s="5"/>
      <c r="I19" s="5"/>
      <c r="J19" s="5">
        <v>2681.25</v>
      </c>
      <c r="K19" s="5">
        <v>29493.75</v>
      </c>
      <c r="L19" s="5"/>
      <c r="M19" s="5"/>
      <c r="N19" s="5">
        <v>32175</v>
      </c>
    </row>
    <row r="20" spans="1:14" x14ac:dyDescent="0.25">
      <c r="A20" t="s">
        <v>9</v>
      </c>
      <c r="B20" t="s">
        <v>12</v>
      </c>
      <c r="C20" s="5">
        <v>229287.61680000002</v>
      </c>
      <c r="D20" s="5">
        <v>351499.51650000003</v>
      </c>
      <c r="E20" s="5">
        <v>207462.97660000002</v>
      </c>
      <c r="F20" s="5">
        <v>27890.430150711203</v>
      </c>
      <c r="G20" s="5"/>
      <c r="H20" s="5"/>
      <c r="I20" s="5"/>
      <c r="J20" s="5"/>
      <c r="K20" s="5"/>
      <c r="L20" s="5"/>
      <c r="M20" s="5"/>
      <c r="N20" s="5">
        <v>816140.5400507109</v>
      </c>
    </row>
    <row r="21" spans="1:14" x14ac:dyDescent="0.25">
      <c r="B21" t="s">
        <v>18</v>
      </c>
      <c r="C21" s="5"/>
      <c r="D21" s="5">
        <v>23162.821000000004</v>
      </c>
      <c r="E21" s="5"/>
      <c r="F21" s="5"/>
      <c r="G21" s="5"/>
      <c r="H21" s="5"/>
      <c r="I21" s="5"/>
      <c r="J21" s="5"/>
      <c r="K21" s="5"/>
      <c r="L21" s="5"/>
      <c r="M21" s="5"/>
      <c r="N21" s="5">
        <v>23162.821000000004</v>
      </c>
    </row>
    <row r="22" spans="1:14" x14ac:dyDescent="0.25">
      <c r="B22" t="s">
        <v>19</v>
      </c>
      <c r="C22" s="5"/>
      <c r="D22" s="5">
        <v>3244.3851</v>
      </c>
      <c r="E22" s="5"/>
      <c r="F22" s="5"/>
      <c r="G22" s="5"/>
      <c r="H22" s="5"/>
      <c r="I22" s="5"/>
      <c r="J22" s="5"/>
      <c r="K22" s="5"/>
      <c r="L22" s="5"/>
      <c r="M22" s="5"/>
      <c r="N22" s="5">
        <v>3244.3851</v>
      </c>
    </row>
    <row r="23" spans="1:14" x14ac:dyDescent="0.25">
      <c r="B23" t="s">
        <v>13</v>
      </c>
      <c r="C23" s="5"/>
      <c r="D23" s="5">
        <v>63342.923099999993</v>
      </c>
      <c r="E23" s="5">
        <v>66894.481499999994</v>
      </c>
      <c r="F23" s="5">
        <v>18402.839999999997</v>
      </c>
      <c r="G23" s="5"/>
      <c r="H23" s="5"/>
      <c r="I23" s="5"/>
      <c r="J23" s="5"/>
      <c r="K23" s="5"/>
      <c r="L23" s="5"/>
      <c r="M23" s="5"/>
      <c r="N23" s="5">
        <v>148640.24459999998</v>
      </c>
    </row>
    <row r="24" spans="1:14" x14ac:dyDescent="0.25">
      <c r="A24" t="s">
        <v>10</v>
      </c>
      <c r="B24" t="s">
        <v>12</v>
      </c>
      <c r="C24" s="5"/>
      <c r="D24" s="5"/>
      <c r="E24" s="5">
        <v>145890.9960836627</v>
      </c>
      <c r="F24" s="5">
        <v>47536.922466522228</v>
      </c>
      <c r="G24" s="5"/>
      <c r="H24" s="5"/>
      <c r="I24" s="5"/>
      <c r="J24" s="5"/>
      <c r="K24" s="5"/>
      <c r="L24" s="5"/>
      <c r="M24" s="5"/>
      <c r="N24" s="5">
        <v>193427.91855018493</v>
      </c>
    </row>
    <row r="25" spans="1:14" x14ac:dyDescent="0.25">
      <c r="B25" t="s">
        <v>13</v>
      </c>
      <c r="C25" s="5"/>
      <c r="D25" s="5"/>
      <c r="E25" s="5">
        <v>8839.728000000001</v>
      </c>
      <c r="F25" s="5"/>
      <c r="G25" s="5"/>
      <c r="H25" s="5"/>
      <c r="I25" s="5"/>
      <c r="J25" s="5"/>
      <c r="K25" s="5"/>
      <c r="L25" s="5"/>
      <c r="M25" s="5"/>
      <c r="N25" s="5">
        <v>8839.728000000001</v>
      </c>
    </row>
    <row r="26" spans="1:14" x14ac:dyDescent="0.25">
      <c r="A26" t="s">
        <v>11</v>
      </c>
      <c r="C26" s="5">
        <v>330769.67820000002</v>
      </c>
      <c r="D26" s="5">
        <v>631610.52129999991</v>
      </c>
      <c r="E26" s="5">
        <v>555499.15543306014</v>
      </c>
      <c r="F26" s="5">
        <v>213237.94951993925</v>
      </c>
      <c r="G26" s="5">
        <v>177866.67691914254</v>
      </c>
      <c r="H26" s="5">
        <v>394351.7870747702</v>
      </c>
      <c r="I26" s="5">
        <v>171702.96615726055</v>
      </c>
      <c r="J26" s="5">
        <v>337647.79564099998</v>
      </c>
      <c r="K26" s="5">
        <v>396550.36025881331</v>
      </c>
      <c r="L26" s="5">
        <v>462889.16512666637</v>
      </c>
      <c r="M26" s="5">
        <v>200992.04132569596</v>
      </c>
      <c r="N26" s="5">
        <v>3873118.0969563457</v>
      </c>
    </row>
    <row r="27" spans="1:14" x14ac:dyDescent="0.25">
      <c r="C27" s="2">
        <v>206591</v>
      </c>
    </row>
    <row r="28" spans="1:14" x14ac:dyDescent="0.25">
      <c r="C28">
        <f>C8/C27</f>
        <v>0.36080000000000001</v>
      </c>
      <c r="E28" s="3" t="s">
        <v>24</v>
      </c>
      <c r="F28" s="3" t="s">
        <v>25</v>
      </c>
    </row>
    <row r="29" spans="1:14" x14ac:dyDescent="0.25">
      <c r="E29" s="3" t="s">
        <v>26</v>
      </c>
      <c r="F29" s="4">
        <v>46007</v>
      </c>
    </row>
    <row r="30" spans="1:14" x14ac:dyDescent="0.25">
      <c r="E30" s="8" t="s">
        <v>31</v>
      </c>
      <c r="F30" s="9"/>
    </row>
    <row r="31" spans="1:14" x14ac:dyDescent="0.25">
      <c r="A31" s="1" t="s">
        <v>32</v>
      </c>
      <c r="C31" s="1" t="s">
        <v>22</v>
      </c>
    </row>
    <row r="32" spans="1:14" x14ac:dyDescent="0.25">
      <c r="A32" s="1" t="s">
        <v>0</v>
      </c>
      <c r="B32" s="1" t="s">
        <v>21</v>
      </c>
      <c r="C32">
        <v>11</v>
      </c>
      <c r="D32">
        <v>12</v>
      </c>
      <c r="E32">
        <v>1</v>
      </c>
      <c r="F32">
        <v>2</v>
      </c>
      <c r="G32">
        <v>3</v>
      </c>
      <c r="H32">
        <v>4</v>
      </c>
      <c r="I32">
        <v>5</v>
      </c>
      <c r="J32">
        <v>6</v>
      </c>
      <c r="K32">
        <v>7</v>
      </c>
      <c r="L32">
        <v>8</v>
      </c>
      <c r="M32">
        <v>9</v>
      </c>
      <c r="N32" t="s">
        <v>11</v>
      </c>
    </row>
    <row r="33" spans="1:14" x14ac:dyDescent="0.25">
      <c r="A33" t="s">
        <v>1</v>
      </c>
      <c r="B33" t="s">
        <v>12</v>
      </c>
      <c r="C33" s="5"/>
      <c r="D33" s="5">
        <v>26044.273000000001</v>
      </c>
      <c r="E33" s="5">
        <v>23900.813105220877</v>
      </c>
      <c r="F33" s="5">
        <v>36320.621018813014</v>
      </c>
      <c r="G33" s="5"/>
      <c r="H33" s="5">
        <v>273.81526104417668</v>
      </c>
      <c r="I33" s="5"/>
      <c r="J33" s="5"/>
      <c r="K33" s="5"/>
      <c r="L33" s="5"/>
      <c r="M33" s="5"/>
      <c r="N33" s="5">
        <v>86539.522385078075</v>
      </c>
    </row>
    <row r="34" spans="1:14" x14ac:dyDescent="0.25">
      <c r="B34" t="s">
        <v>13</v>
      </c>
      <c r="C34" s="5"/>
      <c r="D34" s="5"/>
      <c r="E34" s="5">
        <v>31495.815300000002</v>
      </c>
      <c r="F34" s="5">
        <v>25112.52</v>
      </c>
      <c r="G34" s="5"/>
      <c r="H34" s="5"/>
      <c r="I34" s="5"/>
      <c r="J34" s="5"/>
      <c r="K34" s="5"/>
      <c r="L34" s="5"/>
      <c r="M34" s="5"/>
      <c r="N34" s="5">
        <v>56608.335299999999</v>
      </c>
    </row>
    <row r="35" spans="1:14" x14ac:dyDescent="0.25">
      <c r="A35" t="s">
        <v>2</v>
      </c>
      <c r="B35" t="s">
        <v>12</v>
      </c>
      <c r="C35" s="5">
        <v>25100.806499999999</v>
      </c>
      <c r="D35" s="5">
        <v>12884.102999999999</v>
      </c>
      <c r="E35" s="5"/>
      <c r="F35" s="5"/>
      <c r="G35" s="5"/>
      <c r="H35" s="5"/>
      <c r="I35" s="5"/>
      <c r="J35" s="5"/>
      <c r="K35" s="5"/>
      <c r="L35" s="5"/>
      <c r="M35" s="5"/>
      <c r="N35" s="5">
        <v>37984.909499999994</v>
      </c>
    </row>
    <row r="36" spans="1:14" x14ac:dyDescent="0.25">
      <c r="B36" t="s">
        <v>14</v>
      </c>
      <c r="C36" s="5">
        <v>1513.8203999999998</v>
      </c>
      <c r="D36" s="5">
        <v>15264.397199999999</v>
      </c>
      <c r="E36" s="5"/>
      <c r="F36" s="5"/>
      <c r="G36" s="5"/>
      <c r="H36" s="5"/>
      <c r="I36" s="5"/>
      <c r="J36" s="5"/>
      <c r="K36" s="5"/>
      <c r="L36" s="5"/>
      <c r="M36" s="5"/>
      <c r="N36" s="5">
        <v>16778.2176</v>
      </c>
    </row>
    <row r="37" spans="1:14" x14ac:dyDescent="0.25">
      <c r="A37" t="s">
        <v>3</v>
      </c>
      <c r="B37" t="s">
        <v>12</v>
      </c>
      <c r="C37" s="5">
        <v>17467.5124</v>
      </c>
      <c r="D37" s="5">
        <v>20460.801400000004</v>
      </c>
      <c r="E37" s="5"/>
      <c r="F37" s="5"/>
      <c r="G37" s="5"/>
      <c r="H37" s="5"/>
      <c r="I37" s="5"/>
      <c r="J37" s="5"/>
      <c r="K37" s="5"/>
      <c r="L37" s="5"/>
      <c r="M37" s="5"/>
      <c r="N37" s="5">
        <v>37928.313800000004</v>
      </c>
    </row>
    <row r="38" spans="1:14" x14ac:dyDescent="0.25">
      <c r="B38" t="s">
        <v>13</v>
      </c>
      <c r="C38" s="5"/>
      <c r="D38" s="5">
        <v>10567.374</v>
      </c>
      <c r="E38" s="5"/>
      <c r="F38" s="5"/>
      <c r="G38" s="5"/>
      <c r="H38" s="5"/>
      <c r="I38" s="5"/>
      <c r="J38" s="5"/>
      <c r="K38" s="5"/>
      <c r="L38" s="5"/>
      <c r="M38" s="5"/>
      <c r="N38" s="5">
        <v>10567.374</v>
      </c>
    </row>
    <row r="39" spans="1:14" x14ac:dyDescent="0.25">
      <c r="A39" t="s">
        <v>4</v>
      </c>
      <c r="B39" t="s">
        <v>12</v>
      </c>
      <c r="C39" s="5"/>
      <c r="D39" s="5">
        <v>9888.9539999999997</v>
      </c>
      <c r="E39" s="5">
        <v>9298.84</v>
      </c>
      <c r="F39" s="5"/>
      <c r="G39" s="5"/>
      <c r="H39" s="5"/>
      <c r="I39" s="5"/>
      <c r="J39" s="5"/>
      <c r="K39" s="5"/>
      <c r="L39" s="5"/>
      <c r="M39" s="5"/>
      <c r="N39" s="5">
        <v>19187.794000000002</v>
      </c>
    </row>
    <row r="40" spans="1:14" x14ac:dyDescent="0.25">
      <c r="A40" t="s">
        <v>5</v>
      </c>
      <c r="B40" t="s">
        <v>12</v>
      </c>
      <c r="C40" s="5"/>
      <c r="D40" s="5"/>
      <c r="E40" s="5"/>
      <c r="F40" s="5"/>
      <c r="G40" s="5">
        <v>33244.744474717256</v>
      </c>
      <c r="H40" s="5"/>
      <c r="I40" s="5"/>
      <c r="J40" s="5"/>
      <c r="K40" s="5"/>
      <c r="L40" s="5"/>
      <c r="M40" s="5"/>
      <c r="N40" s="5">
        <v>33244.744474717256</v>
      </c>
    </row>
    <row r="41" spans="1:14" x14ac:dyDescent="0.25">
      <c r="B41" t="s">
        <v>15</v>
      </c>
      <c r="C41" s="5"/>
      <c r="D41" s="5"/>
      <c r="E41" s="5"/>
      <c r="F41" s="5"/>
      <c r="G41" s="5">
        <v>24395.999999999996</v>
      </c>
      <c r="H41" s="5">
        <v>12839.999999999998</v>
      </c>
      <c r="I41" s="5"/>
      <c r="J41" s="5"/>
      <c r="K41" s="5"/>
      <c r="L41" s="5"/>
      <c r="M41" s="5"/>
      <c r="N41" s="5">
        <v>37235.999999999993</v>
      </c>
    </row>
    <row r="42" spans="1:14" x14ac:dyDescent="0.25">
      <c r="B42" t="s">
        <v>13</v>
      </c>
      <c r="C42" s="5"/>
      <c r="D42" s="5"/>
      <c r="E42" s="5"/>
      <c r="F42" s="5"/>
      <c r="G42" s="5">
        <v>38713.22692222616</v>
      </c>
      <c r="H42" s="5">
        <v>221369.341676621</v>
      </c>
      <c r="I42" s="5">
        <v>13253.560300173211</v>
      </c>
      <c r="J42" s="5"/>
      <c r="K42" s="5"/>
      <c r="L42" s="5"/>
      <c r="M42" s="5"/>
      <c r="N42" s="5">
        <v>273336.12889902038</v>
      </c>
    </row>
    <row r="43" spans="1:14" x14ac:dyDescent="0.25">
      <c r="A43" t="s">
        <v>6</v>
      </c>
      <c r="B43" t="s">
        <v>16</v>
      </c>
      <c r="C43" s="5"/>
      <c r="D43" s="5"/>
      <c r="E43" s="5"/>
      <c r="F43" s="5"/>
      <c r="G43" s="5"/>
      <c r="H43" s="5"/>
      <c r="I43" s="5">
        <v>75637.8</v>
      </c>
      <c r="J43" s="5">
        <v>169323.74834599998</v>
      </c>
      <c r="K43" s="5">
        <v>67317.821412880003</v>
      </c>
      <c r="L43" s="5">
        <v>77893.05855999999</v>
      </c>
      <c r="M43" s="5">
        <v>57005.607026176003</v>
      </c>
      <c r="N43" s="5">
        <v>447178.03534505592</v>
      </c>
    </row>
    <row r="44" spans="1:14" x14ac:dyDescent="0.25">
      <c r="A44" t="s">
        <v>7</v>
      </c>
      <c r="B44" t="s">
        <v>12</v>
      </c>
      <c r="C44" s="5"/>
      <c r="D44" s="5"/>
      <c r="E44" s="5"/>
      <c r="F44" s="5"/>
      <c r="G44" s="5"/>
      <c r="H44" s="5"/>
      <c r="I44" s="5"/>
      <c r="J44" s="5"/>
      <c r="K44" s="5">
        <v>121116.875</v>
      </c>
      <c r="L44" s="5">
        <v>126413.12500000001</v>
      </c>
      <c r="M44" s="5"/>
      <c r="N44" s="5">
        <v>247530.00000000006</v>
      </c>
    </row>
    <row r="45" spans="1:14" x14ac:dyDescent="0.25">
      <c r="B45" t="s">
        <v>17</v>
      </c>
      <c r="C45" s="5"/>
      <c r="D45" s="5"/>
      <c r="E45" s="5"/>
      <c r="F45" s="5"/>
      <c r="G45" s="5"/>
      <c r="H45" s="5"/>
      <c r="I45" s="5"/>
      <c r="J45" s="5"/>
      <c r="K45" s="5">
        <v>3746.9250000000002</v>
      </c>
      <c r="L45" s="5">
        <v>28756.786500000002</v>
      </c>
      <c r="M45" s="5">
        <v>33886.241999999998</v>
      </c>
      <c r="N45" s="5">
        <v>66389.953500000003</v>
      </c>
    </row>
    <row r="46" spans="1:14" x14ac:dyDescent="0.25">
      <c r="A46" t="s">
        <v>8</v>
      </c>
      <c r="B46" t="s">
        <v>12</v>
      </c>
      <c r="C46" s="5"/>
      <c r="D46" s="5"/>
      <c r="E46" s="5"/>
      <c r="F46" s="5"/>
      <c r="G46" s="5"/>
      <c r="H46" s="5"/>
      <c r="I46" s="5"/>
      <c r="J46" s="5">
        <v>1308.3333333333333</v>
      </c>
      <c r="K46" s="5">
        <v>14391.666666666672</v>
      </c>
      <c r="L46" s="5"/>
      <c r="M46" s="5"/>
      <c r="N46" s="5">
        <v>15700.000000000004</v>
      </c>
    </row>
    <row r="47" spans="1:14" x14ac:dyDescent="0.25">
      <c r="A47" t="s">
        <v>9</v>
      </c>
      <c r="B47" t="s">
        <v>12</v>
      </c>
      <c r="C47" s="5">
        <v>152808.42480000001</v>
      </c>
      <c r="D47" s="5">
        <v>234256.38149999999</v>
      </c>
      <c r="E47" s="5">
        <v>138263.42260000002</v>
      </c>
      <c r="F47" s="5">
        <v>18587.539779970386</v>
      </c>
      <c r="G47" s="5"/>
      <c r="H47" s="5"/>
      <c r="I47" s="5"/>
      <c r="J47" s="5"/>
      <c r="K47" s="5"/>
      <c r="L47" s="5"/>
      <c r="M47" s="5"/>
      <c r="N47" s="5">
        <v>543915.76867997018</v>
      </c>
    </row>
    <row r="48" spans="1:14" x14ac:dyDescent="0.25">
      <c r="B48" t="s">
        <v>18</v>
      </c>
      <c r="C48" s="5"/>
      <c r="D48" s="5">
        <v>15436.831000000002</v>
      </c>
      <c r="E48" s="5"/>
      <c r="F48" s="5"/>
      <c r="G48" s="5"/>
      <c r="H48" s="5"/>
      <c r="I48" s="5"/>
      <c r="J48" s="5"/>
      <c r="K48" s="5"/>
      <c r="L48" s="5"/>
      <c r="M48" s="5"/>
      <c r="N48" s="5">
        <v>15436.831000000002</v>
      </c>
    </row>
    <row r="49" spans="1:14" x14ac:dyDescent="0.25">
      <c r="B49" t="s">
        <v>19</v>
      </c>
      <c r="C49" s="5"/>
      <c r="D49" s="5">
        <v>2162.2161000000001</v>
      </c>
      <c r="E49" s="5"/>
      <c r="F49" s="5"/>
      <c r="G49" s="5"/>
      <c r="H49" s="5"/>
      <c r="I49" s="5"/>
      <c r="J49" s="5"/>
      <c r="K49" s="5"/>
      <c r="L49" s="5"/>
      <c r="M49" s="5"/>
      <c r="N49" s="5">
        <v>2162.2161000000001</v>
      </c>
    </row>
    <row r="50" spans="1:14" x14ac:dyDescent="0.25">
      <c r="B50" t="s">
        <v>13</v>
      </c>
      <c r="C50" s="5"/>
      <c r="D50" s="5">
        <v>34455.985999999997</v>
      </c>
      <c r="E50" s="5">
        <v>36387.89</v>
      </c>
      <c r="F50" s="5">
        <v>10010.4</v>
      </c>
      <c r="G50" s="5"/>
      <c r="H50" s="5"/>
      <c r="I50" s="5"/>
      <c r="J50" s="5"/>
      <c r="K50" s="5"/>
      <c r="L50" s="5"/>
      <c r="M50" s="5"/>
      <c r="N50" s="5">
        <v>80854.275999999983</v>
      </c>
    </row>
    <row r="51" spans="1:14" x14ac:dyDescent="0.25">
      <c r="A51" t="s">
        <v>10</v>
      </c>
      <c r="B51" t="s">
        <v>12</v>
      </c>
      <c r="C51" s="5"/>
      <c r="D51" s="5"/>
      <c r="E51" s="5">
        <v>95401.363292678579</v>
      </c>
      <c r="F51" s="5">
        <v>31085.449628734379</v>
      </c>
      <c r="G51" s="5"/>
      <c r="H51" s="5"/>
      <c r="I51" s="5"/>
      <c r="J51" s="5"/>
      <c r="K51" s="5"/>
      <c r="L51" s="5"/>
      <c r="M51" s="5"/>
      <c r="N51" s="5">
        <v>126486.81292141291</v>
      </c>
    </row>
    <row r="52" spans="1:14" x14ac:dyDescent="0.25">
      <c r="B52" t="s">
        <v>13</v>
      </c>
      <c r="C52" s="5"/>
      <c r="D52" s="5"/>
      <c r="E52" s="5">
        <v>6499.8</v>
      </c>
      <c r="F52" s="5"/>
      <c r="G52" s="5"/>
      <c r="H52" s="5"/>
      <c r="I52" s="5"/>
      <c r="J52" s="5"/>
      <c r="K52" s="5"/>
      <c r="L52" s="5"/>
      <c r="M52" s="5"/>
      <c r="N52" s="5">
        <v>6499.8</v>
      </c>
    </row>
    <row r="53" spans="1:14" x14ac:dyDescent="0.25">
      <c r="A53" t="s">
        <v>11</v>
      </c>
      <c r="C53" s="5">
        <v>196890.56410000002</v>
      </c>
      <c r="D53" s="5">
        <v>381421.31720000005</v>
      </c>
      <c r="E53" s="5">
        <v>341247.94429789961</v>
      </c>
      <c r="F53" s="5">
        <v>121116.53042751776</v>
      </c>
      <c r="G53" s="5">
        <v>96353.971396943409</v>
      </c>
      <c r="H53" s="5">
        <v>234483.15693766516</v>
      </c>
      <c r="I53" s="5">
        <v>88891.360300173212</v>
      </c>
      <c r="J53" s="5">
        <v>170632.08167933335</v>
      </c>
      <c r="K53" s="5">
        <v>206573.28807954665</v>
      </c>
      <c r="L53" s="5">
        <v>233062.97005999999</v>
      </c>
      <c r="M53" s="5">
        <v>90891.849026176016</v>
      </c>
      <c r="N53" s="5">
        <v>2161565.0335052558</v>
      </c>
    </row>
    <row r="54" spans="1:14" x14ac:dyDescent="0.25">
      <c r="C54" s="2"/>
    </row>
    <row r="55" spans="1:14" x14ac:dyDescent="0.25">
      <c r="E55" s="3" t="s">
        <v>24</v>
      </c>
      <c r="F55" s="3" t="s">
        <v>25</v>
      </c>
    </row>
    <row r="56" spans="1:14" x14ac:dyDescent="0.25">
      <c r="E56" s="3" t="s">
        <v>26</v>
      </c>
      <c r="F56" s="4">
        <v>46007</v>
      </c>
    </row>
    <row r="57" spans="1:14" x14ac:dyDescent="0.25">
      <c r="E57" s="8" t="s">
        <v>33</v>
      </c>
      <c r="F57" s="9"/>
    </row>
    <row r="58" spans="1:14" x14ac:dyDescent="0.25">
      <c r="A58" s="1" t="s">
        <v>34</v>
      </c>
      <c r="C58" s="1" t="s">
        <v>22</v>
      </c>
    </row>
    <row r="59" spans="1:14" x14ac:dyDescent="0.25">
      <c r="A59" s="1" t="s">
        <v>0</v>
      </c>
      <c r="B59" s="1" t="s">
        <v>21</v>
      </c>
      <c r="C59">
        <v>11</v>
      </c>
      <c r="D59">
        <v>12</v>
      </c>
      <c r="E59">
        <v>1</v>
      </c>
      <c r="F59">
        <v>2</v>
      </c>
      <c r="G59">
        <v>3</v>
      </c>
      <c r="H59">
        <v>4</v>
      </c>
      <c r="I59">
        <v>5</v>
      </c>
      <c r="J59">
        <v>6</v>
      </c>
      <c r="K59">
        <v>7</v>
      </c>
      <c r="L59">
        <v>8</v>
      </c>
      <c r="M59">
        <v>9</v>
      </c>
      <c r="N59" t="s">
        <v>11</v>
      </c>
    </row>
    <row r="60" spans="1:14" x14ac:dyDescent="0.25">
      <c r="A60" t="s">
        <v>1</v>
      </c>
      <c r="B60" t="s">
        <v>12</v>
      </c>
      <c r="C60" s="5"/>
      <c r="D60" s="5">
        <v>67597.456000000006</v>
      </c>
      <c r="E60" s="5">
        <v>62034.143254618495</v>
      </c>
      <c r="F60" s="5">
        <v>94269.537921518742</v>
      </c>
      <c r="G60" s="5"/>
      <c r="H60" s="5">
        <v>710.68273092369475</v>
      </c>
      <c r="I60" s="5"/>
      <c r="J60" s="5"/>
      <c r="K60" s="5"/>
      <c r="L60" s="5"/>
      <c r="M60" s="5"/>
      <c r="N60" s="5">
        <v>224611.81990706103</v>
      </c>
    </row>
    <row r="61" spans="1:14" x14ac:dyDescent="0.25">
      <c r="B61" t="s">
        <v>13</v>
      </c>
      <c r="C61" s="5"/>
      <c r="D61" s="5"/>
      <c r="E61" s="5">
        <v>108576.74040000001</v>
      </c>
      <c r="F61" s="5">
        <v>86571.36</v>
      </c>
      <c r="G61" s="5"/>
      <c r="H61" s="5"/>
      <c r="I61" s="5"/>
      <c r="J61" s="5"/>
      <c r="K61" s="5"/>
      <c r="L61" s="5"/>
      <c r="M61" s="5"/>
      <c r="N61" s="5">
        <v>195148.1004</v>
      </c>
    </row>
    <row r="62" spans="1:14" x14ac:dyDescent="0.25">
      <c r="A62" t="s">
        <v>2</v>
      </c>
      <c r="B62" t="s">
        <v>12</v>
      </c>
      <c r="C62" s="5">
        <v>99638.839300000007</v>
      </c>
      <c r="D62" s="5">
        <v>51144.056600000004</v>
      </c>
      <c r="E62" s="5"/>
      <c r="F62" s="5"/>
      <c r="G62" s="5"/>
      <c r="H62" s="5"/>
      <c r="I62" s="5"/>
      <c r="J62" s="5"/>
      <c r="K62" s="5"/>
      <c r="L62" s="5"/>
      <c r="M62" s="5"/>
      <c r="N62" s="5">
        <v>150782.8959</v>
      </c>
    </row>
    <row r="63" spans="1:14" x14ac:dyDescent="0.25">
      <c r="B63" t="s">
        <v>14</v>
      </c>
      <c r="C63" s="5">
        <v>7459.6692000000003</v>
      </c>
      <c r="D63" s="5">
        <v>75218.535600000003</v>
      </c>
      <c r="E63" s="5"/>
      <c r="F63" s="5"/>
      <c r="G63" s="5"/>
      <c r="H63" s="5"/>
      <c r="I63" s="5"/>
      <c r="J63" s="5"/>
      <c r="K63" s="5"/>
      <c r="L63" s="5"/>
      <c r="M63" s="5"/>
      <c r="N63" s="5">
        <v>82678.204800000007</v>
      </c>
    </row>
    <row r="64" spans="1:14" x14ac:dyDescent="0.25">
      <c r="A64" t="s">
        <v>3</v>
      </c>
      <c r="B64" t="s">
        <v>12</v>
      </c>
      <c r="C64" s="5">
        <v>38465.692200000005</v>
      </c>
      <c r="D64" s="5">
        <v>45057.296699999999</v>
      </c>
      <c r="E64" s="5"/>
      <c r="F64" s="5"/>
      <c r="G64" s="5"/>
      <c r="H64" s="5"/>
      <c r="I64" s="5"/>
      <c r="J64" s="5"/>
      <c r="K64" s="5"/>
      <c r="L64" s="5"/>
      <c r="M64" s="5"/>
      <c r="N64" s="5">
        <v>83522.988899999997</v>
      </c>
    </row>
    <row r="65" spans="1:14" x14ac:dyDescent="0.25">
      <c r="B65" t="s">
        <v>13</v>
      </c>
      <c r="C65" s="5"/>
      <c r="D65" s="5">
        <v>24657.206000000002</v>
      </c>
      <c r="E65" s="5"/>
      <c r="F65" s="5"/>
      <c r="G65" s="5"/>
      <c r="H65" s="5"/>
      <c r="I65" s="5"/>
      <c r="J65" s="5"/>
      <c r="K65" s="5"/>
      <c r="L65" s="5"/>
      <c r="M65" s="5"/>
      <c r="N65" s="5">
        <v>24657.206000000002</v>
      </c>
    </row>
    <row r="66" spans="1:14" x14ac:dyDescent="0.25">
      <c r="A66" t="s">
        <v>4</v>
      </c>
      <c r="B66" t="s">
        <v>12</v>
      </c>
      <c r="C66" s="5"/>
      <c r="D66" s="5">
        <v>21796.227300000002</v>
      </c>
      <c r="E66" s="5">
        <v>20495.558000000005</v>
      </c>
      <c r="F66" s="5"/>
      <c r="G66" s="5"/>
      <c r="H66" s="5"/>
      <c r="I66" s="5"/>
      <c r="J66" s="5"/>
      <c r="K66" s="5"/>
      <c r="L66" s="5"/>
      <c r="M66" s="5"/>
      <c r="N66" s="5">
        <v>42291.785300000003</v>
      </c>
    </row>
    <row r="67" spans="1:14" x14ac:dyDescent="0.25">
      <c r="A67" t="s">
        <v>5</v>
      </c>
      <c r="B67" t="s">
        <v>12</v>
      </c>
      <c r="C67" s="5"/>
      <c r="D67" s="5"/>
      <c r="E67" s="5"/>
      <c r="F67" s="5"/>
      <c r="G67" s="5">
        <v>98646.788511427396</v>
      </c>
      <c r="H67" s="5"/>
      <c r="I67" s="5"/>
      <c r="J67" s="5"/>
      <c r="K67" s="5"/>
      <c r="L67" s="5"/>
      <c r="M67" s="5"/>
      <c r="N67" s="5">
        <v>98646.788511427396</v>
      </c>
    </row>
    <row r="68" spans="1:14" x14ac:dyDescent="0.25">
      <c r="B68" t="s">
        <v>15</v>
      </c>
      <c r="C68" s="5"/>
      <c r="D68" s="5"/>
      <c r="E68" s="5"/>
      <c r="F68" s="5"/>
      <c r="G68" s="5">
        <v>72390</v>
      </c>
      <c r="H68" s="5">
        <v>38100</v>
      </c>
      <c r="I68" s="5"/>
      <c r="J68" s="5"/>
      <c r="K68" s="5"/>
      <c r="L68" s="5"/>
      <c r="M68" s="5"/>
      <c r="N68" s="5">
        <v>110490</v>
      </c>
    </row>
    <row r="69" spans="1:14" x14ac:dyDescent="0.25">
      <c r="B69" t="s">
        <v>13</v>
      </c>
      <c r="C69" s="5"/>
      <c r="D69" s="5"/>
      <c r="E69" s="5"/>
      <c r="F69" s="5"/>
      <c r="G69" s="5">
        <v>103183.85980465857</v>
      </c>
      <c r="H69" s="5">
        <v>590024.26128151175</v>
      </c>
      <c r="I69" s="5">
        <v>35325.226457433775</v>
      </c>
      <c r="J69" s="5"/>
      <c r="K69" s="5"/>
      <c r="L69" s="5"/>
      <c r="M69" s="5"/>
      <c r="N69" s="5">
        <v>728533.34754360397</v>
      </c>
    </row>
    <row r="70" spans="1:14" x14ac:dyDescent="0.25">
      <c r="A70" t="s">
        <v>6</v>
      </c>
      <c r="B70" t="s">
        <v>16</v>
      </c>
      <c r="C70" s="5"/>
      <c r="D70" s="5"/>
      <c r="E70" s="5"/>
      <c r="F70" s="5"/>
      <c r="G70" s="5"/>
      <c r="H70" s="5"/>
      <c r="I70" s="5">
        <v>225269.10000000003</v>
      </c>
      <c r="J70" s="5">
        <v>504290.29398700007</v>
      </c>
      <c r="K70" s="5">
        <v>200490.03333836002</v>
      </c>
      <c r="L70" s="5">
        <v>231985.84832000005</v>
      </c>
      <c r="M70" s="5">
        <v>169777.56875187202</v>
      </c>
      <c r="N70" s="5">
        <v>1331812.8443972317</v>
      </c>
    </row>
    <row r="71" spans="1:14" x14ac:dyDescent="0.25">
      <c r="A71" t="s">
        <v>7</v>
      </c>
      <c r="B71" t="s">
        <v>12</v>
      </c>
      <c r="C71" s="5"/>
      <c r="D71" s="5"/>
      <c r="E71" s="5"/>
      <c r="F71" s="5"/>
      <c r="G71" s="5"/>
      <c r="H71" s="5"/>
      <c r="I71" s="5"/>
      <c r="J71" s="5"/>
      <c r="K71" s="5">
        <v>345246.45833333326</v>
      </c>
      <c r="L71" s="5">
        <v>360343.54166666674</v>
      </c>
      <c r="M71" s="5"/>
      <c r="N71" s="5">
        <v>705589.99999999907</v>
      </c>
    </row>
    <row r="72" spans="1:14" x14ac:dyDescent="0.25">
      <c r="B72" t="s">
        <v>17</v>
      </c>
      <c r="C72" s="5"/>
      <c r="D72" s="5"/>
      <c r="E72" s="5"/>
      <c r="F72" s="5"/>
      <c r="G72" s="5"/>
      <c r="H72" s="5"/>
      <c r="I72" s="5"/>
      <c r="J72" s="5"/>
      <c r="K72" s="5">
        <v>13501.74</v>
      </c>
      <c r="L72" s="5">
        <v>103622.74519999998</v>
      </c>
      <c r="M72" s="5">
        <v>122106.32159999998</v>
      </c>
      <c r="N72" s="5">
        <v>239230.80679999999</v>
      </c>
    </row>
    <row r="73" spans="1:14" x14ac:dyDescent="0.25">
      <c r="A73" t="s">
        <v>8</v>
      </c>
      <c r="B73" t="s">
        <v>12</v>
      </c>
      <c r="C73" s="5"/>
      <c r="D73" s="5"/>
      <c r="E73" s="5"/>
      <c r="F73" s="5"/>
      <c r="G73" s="5"/>
      <c r="H73" s="5"/>
      <c r="I73" s="5"/>
      <c r="J73" s="5">
        <v>3989.583333333333</v>
      </c>
      <c r="K73" s="5">
        <v>43885.416666666679</v>
      </c>
      <c r="L73" s="5"/>
      <c r="M73" s="5"/>
      <c r="N73" s="5">
        <v>47875.000000000015</v>
      </c>
    </row>
    <row r="74" spans="1:14" x14ac:dyDescent="0.25">
      <c r="A74" t="s">
        <v>9</v>
      </c>
      <c r="B74" t="s">
        <v>12</v>
      </c>
      <c r="C74" s="5">
        <v>382096.0416</v>
      </c>
      <c r="D74" s="5">
        <v>585755.89799999993</v>
      </c>
      <c r="E74" s="5">
        <v>345726.39919999999</v>
      </c>
      <c r="F74" s="5">
        <v>46477.969930681596</v>
      </c>
      <c r="G74" s="5"/>
      <c r="H74" s="5"/>
      <c r="I74" s="5"/>
      <c r="J74" s="5"/>
      <c r="K74" s="5"/>
      <c r="L74" s="5"/>
      <c r="M74" s="5"/>
      <c r="N74" s="5">
        <v>1360056.3087306824</v>
      </c>
    </row>
    <row r="75" spans="1:14" x14ac:dyDescent="0.25">
      <c r="B75" t="s">
        <v>18</v>
      </c>
      <c r="C75" s="5"/>
      <c r="D75" s="5">
        <v>38599.652000000002</v>
      </c>
      <c r="E75" s="5"/>
      <c r="F75" s="5"/>
      <c r="G75" s="5"/>
      <c r="H75" s="5"/>
      <c r="I75" s="5"/>
      <c r="J75" s="5"/>
      <c r="K75" s="5"/>
      <c r="L75" s="5"/>
      <c r="M75" s="5"/>
      <c r="N75" s="5">
        <v>38599.652000000002</v>
      </c>
    </row>
    <row r="76" spans="1:14" x14ac:dyDescent="0.25">
      <c r="B76" t="s">
        <v>19</v>
      </c>
      <c r="C76" s="5"/>
      <c r="D76" s="5">
        <v>5406.601200000001</v>
      </c>
      <c r="E76" s="5"/>
      <c r="F76" s="5"/>
      <c r="G76" s="5"/>
      <c r="H76" s="5"/>
      <c r="I76" s="5"/>
      <c r="J76" s="5"/>
      <c r="K76" s="5"/>
      <c r="L76" s="5"/>
      <c r="M76" s="5"/>
      <c r="N76" s="5">
        <v>5406.601200000001</v>
      </c>
    </row>
    <row r="77" spans="1:14" x14ac:dyDescent="0.25">
      <c r="B77" t="s">
        <v>13</v>
      </c>
      <c r="C77" s="5"/>
      <c r="D77" s="5">
        <v>97798.90909999999</v>
      </c>
      <c r="E77" s="5">
        <v>103282.37150000001</v>
      </c>
      <c r="F77" s="5">
        <v>28413.239999999998</v>
      </c>
      <c r="G77" s="5"/>
      <c r="H77" s="5"/>
      <c r="I77" s="5"/>
      <c r="J77" s="5"/>
      <c r="K77" s="5"/>
      <c r="L77" s="5"/>
      <c r="M77" s="5"/>
      <c r="N77" s="5">
        <v>229494.52059999999</v>
      </c>
    </row>
    <row r="78" spans="1:14" x14ac:dyDescent="0.25">
      <c r="A78" t="s">
        <v>10</v>
      </c>
      <c r="B78" t="s">
        <v>12</v>
      </c>
      <c r="C78" s="5"/>
      <c r="D78" s="5"/>
      <c r="E78" s="5">
        <v>241292.35937634128</v>
      </c>
      <c r="F78" s="5">
        <v>78622.372095256578</v>
      </c>
      <c r="G78" s="5"/>
      <c r="H78" s="5"/>
      <c r="I78" s="5"/>
      <c r="J78" s="5"/>
      <c r="K78" s="5"/>
      <c r="L78" s="5"/>
      <c r="M78" s="5"/>
      <c r="N78" s="5">
        <v>319914.73147159792</v>
      </c>
    </row>
    <row r="79" spans="1:14" x14ac:dyDescent="0.25">
      <c r="B79" t="s">
        <v>13</v>
      </c>
      <c r="C79" s="5"/>
      <c r="D79" s="5"/>
      <c r="E79" s="5">
        <v>15339.528</v>
      </c>
      <c r="F79" s="5"/>
      <c r="G79" s="5"/>
      <c r="H79" s="5"/>
      <c r="I79" s="5"/>
      <c r="J79" s="5"/>
      <c r="K79" s="5"/>
      <c r="L79" s="5"/>
      <c r="M79" s="5"/>
      <c r="N79" s="5">
        <v>15339.528</v>
      </c>
    </row>
    <row r="80" spans="1:14" x14ac:dyDescent="0.25">
      <c r="A80" t="s">
        <v>11</v>
      </c>
      <c r="C80" s="5">
        <v>527660.24230000004</v>
      </c>
      <c r="D80" s="5">
        <v>1013031.8385</v>
      </c>
      <c r="E80" s="5">
        <v>896747.09973095974</v>
      </c>
      <c r="F80" s="5">
        <v>334354.47994745686</v>
      </c>
      <c r="G80" s="5">
        <v>274220.64831608598</v>
      </c>
      <c r="H80" s="5">
        <v>628834.94401243539</v>
      </c>
      <c r="I80" s="5">
        <v>260594.32645743381</v>
      </c>
      <c r="J80" s="5">
        <v>508279.87732033338</v>
      </c>
      <c r="K80" s="5">
        <v>603123.64833836001</v>
      </c>
      <c r="L80" s="5">
        <v>695952.13518666686</v>
      </c>
      <c r="M80" s="5">
        <v>291883.89035187202</v>
      </c>
      <c r="N80" s="5">
        <v>6034683.1304616043</v>
      </c>
    </row>
    <row r="82" spans="2:7" x14ac:dyDescent="0.25">
      <c r="C82" s="14"/>
    </row>
    <row r="86" spans="2:7" x14ac:dyDescent="0.25">
      <c r="B86" s="7"/>
      <c r="C86" s="7"/>
      <c r="E86" s="2"/>
      <c r="G86" s="11"/>
    </row>
    <row r="87" spans="2:7" x14ac:dyDescent="0.25">
      <c r="B87" s="7"/>
      <c r="G87" s="11"/>
    </row>
    <row r="88" spans="2:7" x14ac:dyDescent="0.25">
      <c r="G88" s="11"/>
    </row>
    <row r="89" spans="2:7" x14ac:dyDescent="0.25">
      <c r="G89" s="13"/>
    </row>
  </sheetData>
  <mergeCells count="3">
    <mergeCell ref="E3:F3"/>
    <mergeCell ref="E30:F30"/>
    <mergeCell ref="E57:F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90F5-DDEF-492B-8BEA-76EECB19A3C2}">
  <dimension ref="A1:N80"/>
  <sheetViews>
    <sheetView showGridLines="0" topLeftCell="A16" zoomScale="85" zoomScaleNormal="85" workbookViewId="0">
      <selection activeCell="C8" sqref="C8"/>
    </sheetView>
  </sheetViews>
  <sheetFormatPr baseColWidth="10" defaultRowHeight="15" x14ac:dyDescent="0.25"/>
  <cols>
    <col min="1" max="1" width="17.85546875" bestFit="1" customWidth="1"/>
    <col min="2" max="2" width="14.140625" bestFit="1" customWidth="1"/>
    <col min="3" max="6" width="13" bestFit="1" customWidth="1"/>
    <col min="7" max="7" width="12" bestFit="1" customWidth="1"/>
    <col min="8" max="8" width="13" bestFit="1" customWidth="1"/>
    <col min="9" max="9" width="12" bestFit="1" customWidth="1"/>
    <col min="10" max="12" width="13" bestFit="1" customWidth="1"/>
    <col min="13" max="13" width="12" bestFit="1" customWidth="1"/>
    <col min="14" max="14" width="14.5703125" bestFit="1" customWidth="1"/>
  </cols>
  <sheetData>
    <row r="1" spans="1:14" x14ac:dyDescent="0.25">
      <c r="E1" s="3" t="s">
        <v>24</v>
      </c>
      <c r="F1" s="3" t="s">
        <v>25</v>
      </c>
    </row>
    <row r="2" spans="1:14" x14ac:dyDescent="0.25">
      <c r="E2" s="3" t="s">
        <v>26</v>
      </c>
      <c r="F2" s="4">
        <v>46007</v>
      </c>
    </row>
    <row r="3" spans="1:14" x14ac:dyDescent="0.25">
      <c r="E3" s="8" t="s">
        <v>30</v>
      </c>
      <c r="F3" s="9"/>
    </row>
    <row r="4" spans="1:14" x14ac:dyDescent="0.25">
      <c r="A4" s="1" t="s">
        <v>38</v>
      </c>
      <c r="C4" s="1" t="s">
        <v>22</v>
      </c>
    </row>
    <row r="5" spans="1:14" x14ac:dyDescent="0.25">
      <c r="A5" s="1" t="s">
        <v>0</v>
      </c>
      <c r="B5" s="1" t="s">
        <v>21</v>
      </c>
      <c r="C5">
        <v>11</v>
      </c>
      <c r="D5">
        <v>12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 t="s">
        <v>11</v>
      </c>
    </row>
    <row r="6" spans="1:14" x14ac:dyDescent="0.25">
      <c r="A6" t="s">
        <v>1</v>
      </c>
      <c r="B6" t="s">
        <v>12</v>
      </c>
      <c r="C6" s="12"/>
      <c r="D6" s="12">
        <v>37397864.699999996</v>
      </c>
      <c r="E6" s="12">
        <v>34319997.134457827</v>
      </c>
      <c r="F6" s="12">
        <v>52154025.212435193</v>
      </c>
      <c r="G6" s="12"/>
      <c r="H6" s="12">
        <v>393180.72289156629</v>
      </c>
      <c r="I6" s="12"/>
      <c r="J6" s="12"/>
      <c r="K6" s="12"/>
      <c r="L6" s="12"/>
      <c r="M6" s="12"/>
      <c r="N6" s="12">
        <v>124265067.76978454</v>
      </c>
    </row>
    <row r="7" spans="1:14" x14ac:dyDescent="0.25">
      <c r="B7" t="s">
        <v>13</v>
      </c>
      <c r="C7" s="12"/>
      <c r="D7" s="12"/>
      <c r="E7" s="12">
        <v>69372832.590000004</v>
      </c>
      <c r="F7" s="12">
        <v>55312956</v>
      </c>
      <c r="G7" s="12"/>
      <c r="H7" s="12"/>
      <c r="I7" s="12"/>
      <c r="J7" s="12"/>
      <c r="K7" s="12"/>
      <c r="L7" s="12"/>
      <c r="M7" s="12"/>
      <c r="N7" s="12">
        <v>124685788.59</v>
      </c>
    </row>
    <row r="8" spans="1:14" x14ac:dyDescent="0.25">
      <c r="A8" t="s">
        <v>2</v>
      </c>
      <c r="B8" t="s">
        <v>12</v>
      </c>
      <c r="C8" s="12">
        <v>67084229.520000003</v>
      </c>
      <c r="D8" s="12">
        <v>34433958.240000002</v>
      </c>
      <c r="E8" s="12"/>
      <c r="F8" s="12"/>
      <c r="G8" s="12"/>
      <c r="H8" s="12"/>
      <c r="I8" s="12"/>
      <c r="J8" s="12"/>
      <c r="K8" s="12"/>
      <c r="L8" s="12"/>
      <c r="M8" s="12"/>
      <c r="N8" s="12">
        <v>101518187.76000001</v>
      </c>
    </row>
    <row r="9" spans="1:14" x14ac:dyDescent="0.25">
      <c r="B9" t="s">
        <v>14</v>
      </c>
      <c r="C9" s="12">
        <v>5351263.92</v>
      </c>
      <c r="D9" s="12">
        <v>53958724.559999995</v>
      </c>
      <c r="E9" s="12"/>
      <c r="F9" s="12"/>
      <c r="G9" s="12"/>
      <c r="H9" s="12"/>
      <c r="I9" s="12"/>
      <c r="J9" s="12"/>
      <c r="K9" s="12"/>
      <c r="L9" s="12"/>
      <c r="M9" s="12"/>
      <c r="N9" s="12">
        <v>59309988.479999997</v>
      </c>
    </row>
    <row r="10" spans="1:14" x14ac:dyDescent="0.25">
      <c r="A10" t="s">
        <v>3</v>
      </c>
      <c r="B10" t="s">
        <v>12</v>
      </c>
      <c r="C10" s="12">
        <v>18898361.819999997</v>
      </c>
      <c r="D10" s="12">
        <v>22136845.769999996</v>
      </c>
      <c r="E10" s="12"/>
      <c r="F10" s="12"/>
      <c r="G10" s="12"/>
      <c r="H10" s="12"/>
      <c r="I10" s="12"/>
      <c r="J10" s="12"/>
      <c r="K10" s="12"/>
      <c r="L10" s="12"/>
      <c r="M10" s="12"/>
      <c r="N10" s="12">
        <v>41035207.590000004</v>
      </c>
    </row>
    <row r="11" spans="1:14" x14ac:dyDescent="0.25">
      <c r="B11" t="s">
        <v>13</v>
      </c>
      <c r="C11" s="12"/>
      <c r="D11" s="12">
        <v>12680848.800000001</v>
      </c>
      <c r="E11" s="12"/>
      <c r="F11" s="12"/>
      <c r="G11" s="12"/>
      <c r="H11" s="12"/>
      <c r="I11" s="12"/>
      <c r="J11" s="12"/>
      <c r="K11" s="12"/>
      <c r="L11" s="12"/>
      <c r="M11" s="12"/>
      <c r="N11" s="12">
        <v>12680848.800000001</v>
      </c>
    </row>
    <row r="12" spans="1:14" x14ac:dyDescent="0.25">
      <c r="A12" t="s">
        <v>4</v>
      </c>
      <c r="B12" t="s">
        <v>12</v>
      </c>
      <c r="C12" s="12"/>
      <c r="D12" s="12">
        <v>10716545.969999999</v>
      </c>
      <c r="E12" s="12">
        <v>10077046.199999999</v>
      </c>
      <c r="F12" s="12"/>
      <c r="G12" s="12"/>
      <c r="H12" s="12"/>
      <c r="I12" s="12"/>
      <c r="J12" s="12"/>
      <c r="K12" s="12"/>
      <c r="L12" s="12"/>
      <c r="M12" s="12"/>
      <c r="N12" s="12">
        <v>20793592.170000002</v>
      </c>
    </row>
    <row r="13" spans="1:14" x14ac:dyDescent="0.25">
      <c r="A13" t="s">
        <v>5</v>
      </c>
      <c r="B13" t="s">
        <v>12</v>
      </c>
      <c r="C13" s="12"/>
      <c r="D13" s="12"/>
      <c r="E13" s="12"/>
      <c r="F13" s="12"/>
      <c r="G13" s="12">
        <v>58861839.633039124</v>
      </c>
      <c r="H13" s="12"/>
      <c r="I13" s="12"/>
      <c r="J13" s="12"/>
      <c r="K13" s="12"/>
      <c r="L13" s="12"/>
      <c r="M13" s="12"/>
      <c r="N13" s="12">
        <v>58861839.633039124</v>
      </c>
    </row>
    <row r="14" spans="1:14" x14ac:dyDescent="0.25">
      <c r="B14" t="s">
        <v>15</v>
      </c>
      <c r="C14" s="12"/>
      <c r="D14" s="12"/>
      <c r="E14" s="12"/>
      <c r="F14" s="12"/>
      <c r="G14" s="12">
        <v>43194600</v>
      </c>
      <c r="H14" s="12">
        <v>22734000</v>
      </c>
      <c r="I14" s="12"/>
      <c r="J14" s="12"/>
      <c r="K14" s="12"/>
      <c r="L14" s="12"/>
      <c r="M14" s="12"/>
      <c r="N14" s="12">
        <v>65928600</v>
      </c>
    </row>
    <row r="15" spans="1:14" x14ac:dyDescent="0.25">
      <c r="B15" t="s">
        <v>13</v>
      </c>
      <c r="C15" s="12"/>
      <c r="D15" s="12"/>
      <c r="E15" s="12"/>
      <c r="F15" s="12"/>
      <c r="G15" s="12">
        <v>58023569.594189167</v>
      </c>
      <c r="H15" s="12">
        <v>331789427.64440167</v>
      </c>
      <c r="I15" s="12">
        <v>19864499.54153451</v>
      </c>
      <c r="J15" s="12"/>
      <c r="K15" s="12"/>
      <c r="L15" s="12"/>
      <c r="M15" s="12"/>
      <c r="N15" s="12">
        <v>409677496.78012532</v>
      </c>
    </row>
    <row r="16" spans="1:14" x14ac:dyDescent="0.25">
      <c r="A16" t="s">
        <v>6</v>
      </c>
      <c r="B16" t="s">
        <v>16</v>
      </c>
      <c r="C16" s="12"/>
      <c r="D16" s="12"/>
      <c r="E16" s="12"/>
      <c r="F16" s="12"/>
      <c r="G16" s="12"/>
      <c r="H16" s="12"/>
      <c r="I16" s="12">
        <v>134668170</v>
      </c>
      <c r="J16" s="12">
        <v>301469891.07690001</v>
      </c>
      <c r="K16" s="12">
        <v>119854990.732932</v>
      </c>
      <c r="L16" s="12">
        <v>138683510.78399998</v>
      </c>
      <c r="M16" s="12">
        <v>101494765.55312639</v>
      </c>
      <c r="N16" s="12">
        <v>796171328.14695835</v>
      </c>
    </row>
    <row r="17" spans="1:14" x14ac:dyDescent="0.25">
      <c r="A17" t="s">
        <v>7</v>
      </c>
      <c r="B17" t="s">
        <v>12</v>
      </c>
      <c r="C17" s="12"/>
      <c r="D17" s="12"/>
      <c r="E17" s="12"/>
      <c r="F17" s="12"/>
      <c r="G17" s="12"/>
      <c r="H17" s="12"/>
      <c r="I17" s="12"/>
      <c r="J17" s="12"/>
      <c r="K17" s="12">
        <v>201716625</v>
      </c>
      <c r="L17" s="12">
        <v>210537375</v>
      </c>
      <c r="M17" s="12"/>
      <c r="N17" s="12">
        <v>412254000</v>
      </c>
    </row>
    <row r="18" spans="1:14" x14ac:dyDescent="0.25">
      <c r="B18" t="s">
        <v>17</v>
      </c>
      <c r="C18" s="12"/>
      <c r="D18" s="12"/>
      <c r="E18" s="12"/>
      <c r="F18" s="12"/>
      <c r="G18" s="12"/>
      <c r="H18" s="12"/>
      <c r="I18" s="12"/>
      <c r="J18" s="12"/>
      <c r="K18" s="12">
        <v>8779333.4999999981</v>
      </c>
      <c r="L18" s="12">
        <v>67379362.829999998</v>
      </c>
      <c r="M18" s="12">
        <v>79398071.639999986</v>
      </c>
      <c r="N18" s="12">
        <v>155556767.97</v>
      </c>
    </row>
    <row r="19" spans="1:14" x14ac:dyDescent="0.25">
      <c r="A19" t="s">
        <v>8</v>
      </c>
      <c r="B19" t="s">
        <v>12</v>
      </c>
      <c r="C19" s="12"/>
      <c r="D19" s="12"/>
      <c r="E19" s="12"/>
      <c r="F19" s="12"/>
      <c r="G19" s="12"/>
      <c r="H19" s="12"/>
      <c r="I19" s="12"/>
      <c r="J19" s="12">
        <v>2413125</v>
      </c>
      <c r="K19" s="12">
        <v>26544375</v>
      </c>
      <c r="L19" s="12"/>
      <c r="M19" s="12"/>
      <c r="N19" s="12">
        <v>28957500</v>
      </c>
    </row>
    <row r="20" spans="1:14" x14ac:dyDescent="0.25">
      <c r="A20" t="s">
        <v>9</v>
      </c>
      <c r="B20" t="s">
        <v>12</v>
      </c>
      <c r="C20" s="12">
        <v>206358855.12</v>
      </c>
      <c r="D20" s="12">
        <v>316349564.8499999</v>
      </c>
      <c r="E20" s="12">
        <v>186716678.94000003</v>
      </c>
      <c r="F20" s="12">
        <v>25101387.135640088</v>
      </c>
      <c r="G20" s="12"/>
      <c r="H20" s="12"/>
      <c r="I20" s="12"/>
      <c r="J20" s="12"/>
      <c r="K20" s="12"/>
      <c r="L20" s="12"/>
      <c r="M20" s="12"/>
      <c r="N20" s="12">
        <v>734526486.04564059</v>
      </c>
    </row>
    <row r="21" spans="1:14" x14ac:dyDescent="0.25">
      <c r="B21" t="s">
        <v>18</v>
      </c>
      <c r="C21" s="12"/>
      <c r="D21" s="12">
        <v>20846538.900000002</v>
      </c>
      <c r="E21" s="12"/>
      <c r="F21" s="12"/>
      <c r="G21" s="12"/>
      <c r="H21" s="12"/>
      <c r="I21" s="12"/>
      <c r="J21" s="12"/>
      <c r="K21" s="12"/>
      <c r="L21" s="12"/>
      <c r="M21" s="12"/>
      <c r="N21" s="12">
        <v>20846538.900000002</v>
      </c>
    </row>
    <row r="22" spans="1:14" x14ac:dyDescent="0.25">
      <c r="B22" t="s">
        <v>19</v>
      </c>
      <c r="C22" s="12"/>
      <c r="D22" s="12">
        <v>2919946.59</v>
      </c>
      <c r="E22" s="12"/>
      <c r="F22" s="12"/>
      <c r="G22" s="12"/>
      <c r="H22" s="12"/>
      <c r="I22" s="12"/>
      <c r="J22" s="12"/>
      <c r="K22" s="12"/>
      <c r="L22" s="12"/>
      <c r="M22" s="12"/>
      <c r="N22" s="12">
        <v>2919946.59</v>
      </c>
    </row>
    <row r="23" spans="1:14" x14ac:dyDescent="0.25">
      <c r="B23" t="s">
        <v>13</v>
      </c>
      <c r="C23" s="12"/>
      <c r="D23" s="12">
        <v>57008630.789999999</v>
      </c>
      <c r="E23" s="12">
        <v>60205033.349999994</v>
      </c>
      <c r="F23" s="12">
        <v>16562556</v>
      </c>
      <c r="G23" s="12"/>
      <c r="H23" s="12"/>
      <c r="I23" s="12"/>
      <c r="J23" s="12"/>
      <c r="K23" s="12"/>
      <c r="L23" s="12"/>
      <c r="M23" s="12"/>
      <c r="N23" s="12">
        <v>133776220.13999999</v>
      </c>
    </row>
    <row r="24" spans="1:14" x14ac:dyDescent="0.25">
      <c r="A24" t="s">
        <v>10</v>
      </c>
      <c r="B24" t="s">
        <v>12</v>
      </c>
      <c r="C24" s="12"/>
      <c r="D24" s="12"/>
      <c r="E24" s="12">
        <v>131301896.47529642</v>
      </c>
      <c r="F24" s="12">
        <v>42783230.219869986</v>
      </c>
      <c r="G24" s="12"/>
      <c r="H24" s="12"/>
      <c r="I24" s="12"/>
      <c r="J24" s="12"/>
      <c r="K24" s="12"/>
      <c r="L24" s="12"/>
      <c r="M24" s="12"/>
      <c r="N24" s="12">
        <v>174085126.69516647</v>
      </c>
    </row>
    <row r="25" spans="1:14" x14ac:dyDescent="0.25">
      <c r="B25" t="s">
        <v>13</v>
      </c>
      <c r="C25" s="12"/>
      <c r="D25" s="12"/>
      <c r="E25" s="12">
        <v>7955755.2000000002</v>
      </c>
      <c r="F25" s="12"/>
      <c r="G25" s="12"/>
      <c r="H25" s="12"/>
      <c r="I25" s="12"/>
      <c r="J25" s="12"/>
      <c r="K25" s="12"/>
      <c r="L25" s="12"/>
      <c r="M25" s="12"/>
      <c r="N25" s="12">
        <v>7955755.2000000002</v>
      </c>
    </row>
    <row r="26" spans="1:14" x14ac:dyDescent="0.25">
      <c r="A26" t="s">
        <v>11</v>
      </c>
      <c r="C26" s="12">
        <v>297692710.38000005</v>
      </c>
      <c r="D26" s="12">
        <v>568449469.16999996</v>
      </c>
      <c r="E26" s="12">
        <v>499949239.88975424</v>
      </c>
      <c r="F26" s="12">
        <v>191914154.56794524</v>
      </c>
      <c r="G26" s="12">
        <v>160080009.22722828</v>
      </c>
      <c r="H26" s="12">
        <v>354916608.36729324</v>
      </c>
      <c r="I26" s="12">
        <v>154532669.54153451</v>
      </c>
      <c r="J26" s="12">
        <v>303883016.07690001</v>
      </c>
      <c r="K26" s="12">
        <v>356895324.23293197</v>
      </c>
      <c r="L26" s="12">
        <v>416600248.61400002</v>
      </c>
      <c r="M26" s="12">
        <v>180892837.19312638</v>
      </c>
      <c r="N26" s="12">
        <v>3485806287.2607155</v>
      </c>
    </row>
    <row r="28" spans="1:14" x14ac:dyDescent="0.25">
      <c r="E28" s="3" t="s">
        <v>24</v>
      </c>
      <c r="F28" s="3" t="s">
        <v>25</v>
      </c>
    </row>
    <row r="29" spans="1:14" x14ac:dyDescent="0.25">
      <c r="E29" s="3" t="s">
        <v>26</v>
      </c>
      <c r="F29" s="4">
        <v>46007</v>
      </c>
    </row>
    <row r="30" spans="1:14" x14ac:dyDescent="0.25">
      <c r="E30" s="8" t="s">
        <v>31</v>
      </c>
      <c r="F30" s="9"/>
    </row>
    <row r="31" spans="1:14" x14ac:dyDescent="0.25">
      <c r="A31" s="1" t="s">
        <v>40</v>
      </c>
      <c r="C31" s="1" t="s">
        <v>22</v>
      </c>
    </row>
    <row r="32" spans="1:14" x14ac:dyDescent="0.25">
      <c r="A32" s="1" t="s">
        <v>0</v>
      </c>
      <c r="B32" s="1" t="s">
        <v>21</v>
      </c>
      <c r="C32">
        <v>11</v>
      </c>
      <c r="D32">
        <v>12</v>
      </c>
      <c r="E32">
        <v>1</v>
      </c>
      <c r="F32">
        <v>2</v>
      </c>
      <c r="G32">
        <v>3</v>
      </c>
      <c r="H32">
        <v>4</v>
      </c>
      <c r="I32">
        <v>5</v>
      </c>
      <c r="J32">
        <v>6</v>
      </c>
      <c r="K32">
        <v>7</v>
      </c>
      <c r="L32">
        <v>8</v>
      </c>
      <c r="M32">
        <v>9</v>
      </c>
      <c r="N32" t="s">
        <v>11</v>
      </c>
    </row>
    <row r="33" spans="1:14" x14ac:dyDescent="0.25">
      <c r="A33" t="s">
        <v>1</v>
      </c>
      <c r="B33" t="s">
        <v>12</v>
      </c>
      <c r="C33" s="12"/>
      <c r="D33" s="12">
        <v>23439845.699999999</v>
      </c>
      <c r="E33" s="12">
        <v>21510731.79469879</v>
      </c>
      <c r="F33" s="12">
        <v>32688558.916931707</v>
      </c>
      <c r="G33" s="12"/>
      <c r="H33" s="12">
        <v>246433.73493975902</v>
      </c>
      <c r="I33" s="12"/>
      <c r="J33" s="12"/>
      <c r="K33" s="12"/>
      <c r="L33" s="12"/>
      <c r="M33" s="12"/>
      <c r="N33" s="12">
        <v>77885570.14657028</v>
      </c>
    </row>
    <row r="34" spans="1:14" x14ac:dyDescent="0.25">
      <c r="B34" t="s">
        <v>13</v>
      </c>
      <c r="C34" s="12"/>
      <c r="D34" s="12"/>
      <c r="E34" s="12">
        <v>28346233.77</v>
      </c>
      <c r="F34" s="12">
        <v>22601268</v>
      </c>
      <c r="G34" s="12"/>
      <c r="H34" s="12"/>
      <c r="I34" s="12"/>
      <c r="J34" s="12"/>
      <c r="K34" s="12"/>
      <c r="L34" s="12"/>
      <c r="M34" s="12"/>
      <c r="N34" s="12">
        <v>50947501.769999996</v>
      </c>
    </row>
    <row r="35" spans="1:14" x14ac:dyDescent="0.25">
      <c r="A35" t="s">
        <v>2</v>
      </c>
      <c r="B35" t="s">
        <v>12</v>
      </c>
      <c r="C35" s="12">
        <v>22590725.849999998</v>
      </c>
      <c r="D35" s="12">
        <v>11595692.699999999</v>
      </c>
      <c r="E35" s="12"/>
      <c r="F35" s="12"/>
      <c r="G35" s="12"/>
      <c r="H35" s="12"/>
      <c r="I35" s="12"/>
      <c r="J35" s="12"/>
      <c r="K35" s="12"/>
      <c r="L35" s="12"/>
      <c r="M35" s="12"/>
      <c r="N35" s="12">
        <v>34186418.549999997</v>
      </c>
    </row>
    <row r="36" spans="1:14" x14ac:dyDescent="0.25">
      <c r="B36" t="s">
        <v>14</v>
      </c>
      <c r="C36" s="12">
        <v>1362438.3599999999</v>
      </c>
      <c r="D36" s="12">
        <v>13737957.48</v>
      </c>
      <c r="E36" s="12"/>
      <c r="F36" s="12"/>
      <c r="G36" s="12"/>
      <c r="H36" s="12"/>
      <c r="I36" s="12"/>
      <c r="J36" s="12"/>
      <c r="K36" s="12"/>
      <c r="L36" s="12"/>
      <c r="M36" s="12"/>
      <c r="N36" s="12">
        <v>15100395.84</v>
      </c>
    </row>
    <row r="37" spans="1:14" x14ac:dyDescent="0.25">
      <c r="A37" t="s">
        <v>3</v>
      </c>
      <c r="B37" t="s">
        <v>12</v>
      </c>
      <c r="C37" s="12">
        <v>15720761.16</v>
      </c>
      <c r="D37" s="12">
        <v>18414721.259999998</v>
      </c>
      <c r="E37" s="12"/>
      <c r="F37" s="12"/>
      <c r="G37" s="12"/>
      <c r="H37" s="12"/>
      <c r="I37" s="12"/>
      <c r="J37" s="12"/>
      <c r="K37" s="12"/>
      <c r="L37" s="12"/>
      <c r="M37" s="12"/>
      <c r="N37" s="12">
        <v>34135482.420000002</v>
      </c>
    </row>
    <row r="38" spans="1:14" x14ac:dyDescent="0.25">
      <c r="B38" t="s">
        <v>13</v>
      </c>
      <c r="C38" s="12"/>
      <c r="D38" s="12">
        <v>9510636.5999999996</v>
      </c>
      <c r="E38" s="12"/>
      <c r="F38" s="12"/>
      <c r="G38" s="12"/>
      <c r="H38" s="12"/>
      <c r="I38" s="12"/>
      <c r="J38" s="12"/>
      <c r="K38" s="12"/>
      <c r="L38" s="12"/>
      <c r="M38" s="12"/>
      <c r="N38" s="12">
        <v>9510636.5999999996</v>
      </c>
    </row>
    <row r="39" spans="1:14" x14ac:dyDescent="0.25">
      <c r="A39" t="s">
        <v>4</v>
      </c>
      <c r="B39" t="s">
        <v>12</v>
      </c>
      <c r="C39" s="12"/>
      <c r="D39" s="12">
        <v>8900058.5999999996</v>
      </c>
      <c r="E39" s="12">
        <v>8368956</v>
      </c>
      <c r="F39" s="12"/>
      <c r="G39" s="12"/>
      <c r="H39" s="12"/>
      <c r="I39" s="12"/>
      <c r="J39" s="12"/>
      <c r="K39" s="12"/>
      <c r="L39" s="12"/>
      <c r="M39" s="12"/>
      <c r="N39" s="12">
        <v>17269014.600000001</v>
      </c>
    </row>
    <row r="40" spans="1:14" x14ac:dyDescent="0.25">
      <c r="A40" t="s">
        <v>5</v>
      </c>
      <c r="B40" t="s">
        <v>12</v>
      </c>
      <c r="C40" s="12"/>
      <c r="D40" s="12"/>
      <c r="E40" s="12"/>
      <c r="F40" s="12"/>
      <c r="G40" s="12">
        <v>29920270.027245548</v>
      </c>
      <c r="H40" s="12"/>
      <c r="I40" s="12"/>
      <c r="J40" s="12"/>
      <c r="K40" s="12"/>
      <c r="L40" s="12"/>
      <c r="M40" s="12"/>
      <c r="N40" s="12">
        <v>29920270.027245548</v>
      </c>
    </row>
    <row r="41" spans="1:14" x14ac:dyDescent="0.25">
      <c r="B41" t="s">
        <v>15</v>
      </c>
      <c r="C41" s="12"/>
      <c r="D41" s="12"/>
      <c r="E41" s="12"/>
      <c r="F41" s="12"/>
      <c r="G41" s="12">
        <v>21956399.999999996</v>
      </c>
      <c r="H41" s="12">
        <v>11555999.999999998</v>
      </c>
      <c r="I41" s="12"/>
      <c r="J41" s="12"/>
      <c r="K41" s="12"/>
      <c r="L41" s="12"/>
      <c r="M41" s="12"/>
      <c r="N41" s="12">
        <v>33512399.999999993</v>
      </c>
    </row>
    <row r="42" spans="1:14" x14ac:dyDescent="0.25">
      <c r="B42" t="s">
        <v>13</v>
      </c>
      <c r="C42" s="12"/>
      <c r="D42" s="12"/>
      <c r="E42" s="12"/>
      <c r="F42" s="12"/>
      <c r="G42" s="12">
        <v>34841904.230003543</v>
      </c>
      <c r="H42" s="12">
        <v>199232407.50895888</v>
      </c>
      <c r="I42" s="12">
        <v>11928204.27015589</v>
      </c>
      <c r="J42" s="12"/>
      <c r="K42" s="12"/>
      <c r="L42" s="12"/>
      <c r="M42" s="12"/>
      <c r="N42" s="12">
        <v>246002516.00911829</v>
      </c>
    </row>
    <row r="43" spans="1:14" x14ac:dyDescent="0.25">
      <c r="A43" t="s">
        <v>6</v>
      </c>
      <c r="B43" t="s">
        <v>16</v>
      </c>
      <c r="C43" s="12"/>
      <c r="D43" s="12"/>
      <c r="E43" s="12"/>
      <c r="F43" s="12"/>
      <c r="G43" s="12"/>
      <c r="H43" s="12"/>
      <c r="I43" s="12">
        <v>68074020</v>
      </c>
      <c r="J43" s="12">
        <v>152391373.51140001</v>
      </c>
      <c r="K43" s="12">
        <v>60586039.271592006</v>
      </c>
      <c r="L43" s="12">
        <v>70103752.704000011</v>
      </c>
      <c r="M43" s="12">
        <v>51305046.323558405</v>
      </c>
      <c r="N43" s="12">
        <v>402460231.81055051</v>
      </c>
    </row>
    <row r="44" spans="1:14" x14ac:dyDescent="0.25">
      <c r="A44" t="s">
        <v>7</v>
      </c>
      <c r="B44" t="s">
        <v>12</v>
      </c>
      <c r="C44" s="12"/>
      <c r="D44" s="12"/>
      <c r="E44" s="12"/>
      <c r="F44" s="12"/>
      <c r="G44" s="12"/>
      <c r="H44" s="12"/>
      <c r="I44" s="12"/>
      <c r="J44" s="12"/>
      <c r="K44" s="12">
        <v>109005187.5</v>
      </c>
      <c r="L44" s="12">
        <v>113771812.5</v>
      </c>
      <c r="M44" s="12"/>
      <c r="N44" s="12">
        <v>222777000</v>
      </c>
    </row>
    <row r="45" spans="1:14" x14ac:dyDescent="0.25">
      <c r="B45" t="s">
        <v>17</v>
      </c>
      <c r="C45" s="12"/>
      <c r="D45" s="12"/>
      <c r="E45" s="12"/>
      <c r="F45" s="12"/>
      <c r="G45" s="12"/>
      <c r="H45" s="12"/>
      <c r="I45" s="12"/>
      <c r="J45" s="12"/>
      <c r="K45" s="12">
        <v>3372232.5</v>
      </c>
      <c r="L45" s="12">
        <v>25881107.850000005</v>
      </c>
      <c r="M45" s="12">
        <v>30497617.800000004</v>
      </c>
      <c r="N45" s="12">
        <v>59750958.150000006</v>
      </c>
    </row>
    <row r="46" spans="1:14" x14ac:dyDescent="0.25">
      <c r="A46" t="s">
        <v>8</v>
      </c>
      <c r="B46" t="s">
        <v>12</v>
      </c>
      <c r="C46" s="12"/>
      <c r="D46" s="12"/>
      <c r="E46" s="12"/>
      <c r="F46" s="12"/>
      <c r="G46" s="12"/>
      <c r="H46" s="12"/>
      <c r="I46" s="12"/>
      <c r="J46" s="12">
        <v>1177500</v>
      </c>
      <c r="K46" s="12">
        <v>12952500</v>
      </c>
      <c r="L46" s="12"/>
      <c r="M46" s="12"/>
      <c r="N46" s="12">
        <v>14130000</v>
      </c>
    </row>
    <row r="47" spans="1:14" x14ac:dyDescent="0.25">
      <c r="A47" t="s">
        <v>9</v>
      </c>
      <c r="B47" t="s">
        <v>12</v>
      </c>
      <c r="C47" s="12">
        <v>137527582.31999999</v>
      </c>
      <c r="D47" s="12">
        <v>210830743.34999996</v>
      </c>
      <c r="E47" s="12">
        <v>124437080.34000003</v>
      </c>
      <c r="F47" s="12">
        <v>16728785.801973347</v>
      </c>
      <c r="G47" s="12"/>
      <c r="H47" s="12"/>
      <c r="I47" s="12"/>
      <c r="J47" s="12"/>
      <c r="K47" s="12"/>
      <c r="L47" s="12"/>
      <c r="M47" s="12"/>
      <c r="N47" s="12">
        <v>489524191.81197333</v>
      </c>
    </row>
    <row r="48" spans="1:14" x14ac:dyDescent="0.25">
      <c r="B48" t="s">
        <v>18</v>
      </c>
      <c r="C48" s="12"/>
      <c r="D48" s="12">
        <v>13893147.9</v>
      </c>
      <c r="E48" s="12"/>
      <c r="F48" s="12"/>
      <c r="G48" s="12"/>
      <c r="H48" s="12"/>
      <c r="I48" s="12"/>
      <c r="J48" s="12"/>
      <c r="K48" s="12"/>
      <c r="L48" s="12"/>
      <c r="M48" s="12"/>
      <c r="N48" s="12">
        <v>13893147.9</v>
      </c>
    </row>
    <row r="49" spans="1:14" x14ac:dyDescent="0.25">
      <c r="B49" t="s">
        <v>19</v>
      </c>
      <c r="C49" s="12"/>
      <c r="D49" s="12">
        <v>1945994.49</v>
      </c>
      <c r="E49" s="12"/>
      <c r="F49" s="12"/>
      <c r="G49" s="12"/>
      <c r="H49" s="12"/>
      <c r="I49" s="12"/>
      <c r="J49" s="12"/>
      <c r="K49" s="12"/>
      <c r="L49" s="12"/>
      <c r="M49" s="12"/>
      <c r="N49" s="12">
        <v>1945994.49</v>
      </c>
    </row>
    <row r="50" spans="1:14" x14ac:dyDescent="0.25">
      <c r="B50" t="s">
        <v>13</v>
      </c>
      <c r="C50" s="12"/>
      <c r="D50" s="12">
        <v>31010387.399999999</v>
      </c>
      <c r="E50" s="12">
        <v>32749101</v>
      </c>
      <c r="F50" s="12">
        <v>9009360</v>
      </c>
      <c r="G50" s="12"/>
      <c r="H50" s="12"/>
      <c r="I50" s="12"/>
      <c r="J50" s="12"/>
      <c r="K50" s="12"/>
      <c r="L50" s="12"/>
      <c r="M50" s="12"/>
      <c r="N50" s="12">
        <v>72768848.400000006</v>
      </c>
    </row>
    <row r="51" spans="1:14" x14ac:dyDescent="0.25">
      <c r="A51" t="s">
        <v>10</v>
      </c>
      <c r="B51" t="s">
        <v>12</v>
      </c>
      <c r="C51" s="12"/>
      <c r="D51" s="12"/>
      <c r="E51" s="12">
        <v>85861226.96341072</v>
      </c>
      <c r="F51" s="12">
        <v>27976904.665860943</v>
      </c>
      <c r="G51" s="12"/>
      <c r="H51" s="12"/>
      <c r="I51" s="12"/>
      <c r="J51" s="12"/>
      <c r="K51" s="12"/>
      <c r="L51" s="12"/>
      <c r="M51" s="12"/>
      <c r="N51" s="12">
        <v>113838131.62927164</v>
      </c>
    </row>
    <row r="52" spans="1:14" x14ac:dyDescent="0.25">
      <c r="B52" t="s">
        <v>13</v>
      </c>
      <c r="C52" s="12"/>
      <c r="D52" s="12"/>
      <c r="E52" s="12">
        <v>5849820</v>
      </c>
      <c r="F52" s="12"/>
      <c r="G52" s="12"/>
      <c r="H52" s="12"/>
      <c r="I52" s="12"/>
      <c r="J52" s="12"/>
      <c r="K52" s="12"/>
      <c r="L52" s="12"/>
      <c r="M52" s="12"/>
      <c r="N52" s="12">
        <v>5849820</v>
      </c>
    </row>
    <row r="53" spans="1:14" x14ac:dyDescent="0.25">
      <c r="A53" t="s">
        <v>11</v>
      </c>
      <c r="C53" s="12">
        <v>177201507.69</v>
      </c>
      <c r="D53" s="12">
        <v>343279185.47999996</v>
      </c>
      <c r="E53" s="12">
        <v>307123149.86810946</v>
      </c>
      <c r="F53" s="12">
        <v>109004877.38476598</v>
      </c>
      <c r="G53" s="12">
        <v>86718574.257249087</v>
      </c>
      <c r="H53" s="12">
        <v>211034841.24389863</v>
      </c>
      <c r="I53" s="12">
        <v>80002224.270155892</v>
      </c>
      <c r="J53" s="12">
        <v>153568873.51140001</v>
      </c>
      <c r="K53" s="12">
        <v>185915959.27159202</v>
      </c>
      <c r="L53" s="12">
        <v>209756673.05399999</v>
      </c>
      <c r="M53" s="12">
        <v>81802664.123558402</v>
      </c>
      <c r="N53" s="12">
        <v>1945408530.1547289</v>
      </c>
    </row>
    <row r="55" spans="1:14" x14ac:dyDescent="0.25">
      <c r="E55" s="3" t="s">
        <v>24</v>
      </c>
      <c r="F55" s="3" t="s">
        <v>25</v>
      </c>
    </row>
    <row r="56" spans="1:14" x14ac:dyDescent="0.25">
      <c r="E56" s="3" t="s">
        <v>26</v>
      </c>
      <c r="F56" s="4">
        <v>46007</v>
      </c>
    </row>
    <row r="57" spans="1:14" x14ac:dyDescent="0.25">
      <c r="E57" s="8" t="s">
        <v>33</v>
      </c>
      <c r="F57" s="9"/>
    </row>
    <row r="58" spans="1:14" x14ac:dyDescent="0.25">
      <c r="A58" s="1" t="s">
        <v>39</v>
      </c>
      <c r="C58" s="1" t="s">
        <v>22</v>
      </c>
    </row>
    <row r="59" spans="1:14" x14ac:dyDescent="0.25">
      <c r="A59" s="1" t="s">
        <v>0</v>
      </c>
      <c r="B59" s="1" t="s">
        <v>21</v>
      </c>
      <c r="C59">
        <v>11</v>
      </c>
      <c r="D59">
        <v>12</v>
      </c>
      <c r="E59">
        <v>1</v>
      </c>
      <c r="F59">
        <v>2</v>
      </c>
      <c r="G59">
        <v>3</v>
      </c>
      <c r="H59">
        <v>4</v>
      </c>
      <c r="I59">
        <v>5</v>
      </c>
      <c r="J59">
        <v>6</v>
      </c>
      <c r="K59">
        <v>7</v>
      </c>
      <c r="L59">
        <v>8</v>
      </c>
      <c r="M59">
        <v>9</v>
      </c>
      <c r="N59" t="s">
        <v>11</v>
      </c>
    </row>
    <row r="60" spans="1:14" x14ac:dyDescent="0.25">
      <c r="A60" t="s">
        <v>1</v>
      </c>
      <c r="B60" t="s">
        <v>12</v>
      </c>
      <c r="C60" s="12"/>
      <c r="D60" s="12">
        <v>60837710.400000006</v>
      </c>
      <c r="E60" s="12">
        <v>55830728.929156624</v>
      </c>
      <c r="F60" s="12">
        <v>84842584.129366875</v>
      </c>
      <c r="G60" s="12"/>
      <c r="H60" s="12">
        <v>639614.45783132524</v>
      </c>
      <c r="I60" s="12"/>
      <c r="J60" s="12"/>
      <c r="K60" s="12"/>
      <c r="L60" s="12"/>
      <c r="M60" s="12"/>
      <c r="N60" s="12">
        <v>202150637.91635489</v>
      </c>
    </row>
    <row r="61" spans="1:14" x14ac:dyDescent="0.25">
      <c r="B61" t="s">
        <v>13</v>
      </c>
      <c r="C61" s="12"/>
      <c r="D61" s="12"/>
      <c r="E61" s="12">
        <v>97719066.359999999</v>
      </c>
      <c r="F61" s="12">
        <v>77914224</v>
      </c>
      <c r="G61" s="12"/>
      <c r="H61" s="12"/>
      <c r="I61" s="12"/>
      <c r="J61" s="12"/>
      <c r="K61" s="12"/>
      <c r="L61" s="12"/>
      <c r="M61" s="12"/>
      <c r="N61" s="12">
        <v>175633290.36000001</v>
      </c>
    </row>
    <row r="62" spans="1:14" x14ac:dyDescent="0.25">
      <c r="A62" t="s">
        <v>2</v>
      </c>
      <c r="B62" t="s">
        <v>12</v>
      </c>
      <c r="C62" s="12">
        <v>89674955.370000005</v>
      </c>
      <c r="D62" s="12">
        <v>46029650.940000005</v>
      </c>
      <c r="E62" s="12"/>
      <c r="F62" s="12"/>
      <c r="G62" s="12"/>
      <c r="H62" s="12"/>
      <c r="I62" s="12"/>
      <c r="J62" s="12"/>
      <c r="K62" s="12"/>
      <c r="L62" s="12"/>
      <c r="M62" s="12"/>
      <c r="N62" s="12">
        <v>135704606.31</v>
      </c>
    </row>
    <row r="63" spans="1:14" x14ac:dyDescent="0.25">
      <c r="B63" t="s">
        <v>14</v>
      </c>
      <c r="C63" s="12">
        <v>6713702.2800000003</v>
      </c>
      <c r="D63" s="12">
        <v>67696682.040000007</v>
      </c>
      <c r="E63" s="12"/>
      <c r="F63" s="12"/>
      <c r="G63" s="12"/>
      <c r="H63" s="12"/>
      <c r="I63" s="12"/>
      <c r="J63" s="12"/>
      <c r="K63" s="12"/>
      <c r="L63" s="12"/>
      <c r="M63" s="12"/>
      <c r="N63" s="12">
        <v>74410384.320000008</v>
      </c>
    </row>
    <row r="64" spans="1:14" x14ac:dyDescent="0.25">
      <c r="A64" t="s">
        <v>3</v>
      </c>
      <c r="B64" t="s">
        <v>12</v>
      </c>
      <c r="C64" s="12">
        <v>34619122.980000004</v>
      </c>
      <c r="D64" s="12">
        <v>40551567.030000001</v>
      </c>
      <c r="E64" s="12"/>
      <c r="F64" s="12"/>
      <c r="G64" s="12"/>
      <c r="H64" s="12"/>
      <c r="I64" s="12"/>
      <c r="J64" s="12"/>
      <c r="K64" s="12"/>
      <c r="L64" s="12"/>
      <c r="M64" s="12"/>
      <c r="N64" s="12">
        <v>75170690.00999999</v>
      </c>
    </row>
    <row r="65" spans="1:14" x14ac:dyDescent="0.25">
      <c r="B65" t="s">
        <v>13</v>
      </c>
      <c r="C65" s="12"/>
      <c r="D65" s="12">
        <v>22191485.399999999</v>
      </c>
      <c r="E65" s="12"/>
      <c r="F65" s="12"/>
      <c r="G65" s="12"/>
      <c r="H65" s="12"/>
      <c r="I65" s="12"/>
      <c r="J65" s="12"/>
      <c r="K65" s="12"/>
      <c r="L65" s="12"/>
      <c r="M65" s="12"/>
      <c r="N65" s="12">
        <v>22191485.399999999</v>
      </c>
    </row>
    <row r="66" spans="1:14" x14ac:dyDescent="0.25">
      <c r="A66" t="s">
        <v>4</v>
      </c>
      <c r="B66" t="s">
        <v>12</v>
      </c>
      <c r="C66" s="12"/>
      <c r="D66" s="12">
        <v>19616604.57</v>
      </c>
      <c r="E66" s="12">
        <v>18446002.200000003</v>
      </c>
      <c r="F66" s="12"/>
      <c r="G66" s="12"/>
      <c r="H66" s="12"/>
      <c r="I66" s="12"/>
      <c r="J66" s="12"/>
      <c r="K66" s="12"/>
      <c r="L66" s="12"/>
      <c r="M66" s="12"/>
      <c r="N66" s="12">
        <v>38062606.770000003</v>
      </c>
    </row>
    <row r="67" spans="1:14" x14ac:dyDescent="0.25">
      <c r="A67" t="s">
        <v>5</v>
      </c>
      <c r="B67" t="s">
        <v>12</v>
      </c>
      <c r="C67" s="12"/>
      <c r="D67" s="12"/>
      <c r="E67" s="12"/>
      <c r="F67" s="12"/>
      <c r="G67" s="12">
        <v>88782109.660284698</v>
      </c>
      <c r="H67" s="12"/>
      <c r="I67" s="12"/>
      <c r="J67" s="12"/>
      <c r="K67" s="12"/>
      <c r="L67" s="12"/>
      <c r="M67" s="12"/>
      <c r="N67" s="12">
        <v>88782109.660284698</v>
      </c>
    </row>
    <row r="68" spans="1:14" x14ac:dyDescent="0.25">
      <c r="B68" t="s">
        <v>15</v>
      </c>
      <c r="C68" s="12"/>
      <c r="D68" s="12"/>
      <c r="E68" s="12"/>
      <c r="F68" s="12"/>
      <c r="G68" s="12">
        <v>65151000</v>
      </c>
      <c r="H68" s="12">
        <v>34290000</v>
      </c>
      <c r="I68" s="12"/>
      <c r="J68" s="12"/>
      <c r="K68" s="12"/>
      <c r="L68" s="12"/>
      <c r="M68" s="12"/>
      <c r="N68" s="12">
        <v>99441000</v>
      </c>
    </row>
    <row r="69" spans="1:14" x14ac:dyDescent="0.25">
      <c r="B69" t="s">
        <v>13</v>
      </c>
      <c r="C69" s="12"/>
      <c r="D69" s="12"/>
      <c r="E69" s="12"/>
      <c r="F69" s="12"/>
      <c r="G69" s="12">
        <v>92865473.824192718</v>
      </c>
      <c r="H69" s="12">
        <v>531021835.15336049</v>
      </c>
      <c r="I69" s="12">
        <v>31792703.811690398</v>
      </c>
      <c r="J69" s="12"/>
      <c r="K69" s="12"/>
      <c r="L69" s="12"/>
      <c r="M69" s="12"/>
      <c r="N69" s="12">
        <v>655680012.7892437</v>
      </c>
    </row>
    <row r="70" spans="1:14" x14ac:dyDescent="0.25">
      <c r="A70" t="s">
        <v>6</v>
      </c>
      <c r="B70" t="s">
        <v>16</v>
      </c>
      <c r="C70" s="12"/>
      <c r="D70" s="12"/>
      <c r="E70" s="12"/>
      <c r="F70" s="12"/>
      <c r="G70" s="12"/>
      <c r="H70" s="12"/>
      <c r="I70" s="12">
        <v>202742190</v>
      </c>
      <c r="J70" s="12">
        <v>453861264.58830005</v>
      </c>
      <c r="K70" s="12">
        <v>180441030.00452402</v>
      </c>
      <c r="L70" s="12">
        <v>208787263.48800004</v>
      </c>
      <c r="M70" s="12">
        <v>152799811.87668481</v>
      </c>
      <c r="N70" s="12">
        <v>1198631559.957509</v>
      </c>
    </row>
    <row r="71" spans="1:14" x14ac:dyDescent="0.25">
      <c r="A71" t="s">
        <v>7</v>
      </c>
      <c r="B71" t="s">
        <v>12</v>
      </c>
      <c r="C71" s="12"/>
      <c r="D71" s="12"/>
      <c r="E71" s="12"/>
      <c r="F71" s="12"/>
      <c r="G71" s="12"/>
      <c r="H71" s="12"/>
      <c r="I71" s="12"/>
      <c r="J71" s="12"/>
      <c r="K71" s="12">
        <v>310721812.5</v>
      </c>
      <c r="L71" s="12">
        <v>324309187.5</v>
      </c>
      <c r="M71" s="12"/>
      <c r="N71" s="12">
        <v>635031000</v>
      </c>
    </row>
    <row r="72" spans="1:14" x14ac:dyDescent="0.25">
      <c r="B72" t="s">
        <v>17</v>
      </c>
      <c r="C72" s="12"/>
      <c r="D72" s="12"/>
      <c r="E72" s="12"/>
      <c r="F72" s="12"/>
      <c r="G72" s="12"/>
      <c r="H72" s="12"/>
      <c r="I72" s="12"/>
      <c r="J72" s="12"/>
      <c r="K72" s="12">
        <v>12151566</v>
      </c>
      <c r="L72" s="12">
        <v>93260470.679999977</v>
      </c>
      <c r="M72" s="12">
        <v>109895689.43999998</v>
      </c>
      <c r="N72" s="12">
        <v>215307726.11999995</v>
      </c>
    </row>
    <row r="73" spans="1:14" x14ac:dyDescent="0.25">
      <c r="A73" t="s">
        <v>8</v>
      </c>
      <c r="B73" t="s">
        <v>12</v>
      </c>
      <c r="C73" s="12"/>
      <c r="D73" s="12"/>
      <c r="E73" s="12"/>
      <c r="F73" s="12"/>
      <c r="G73" s="12"/>
      <c r="H73" s="12"/>
      <c r="I73" s="12"/>
      <c r="J73" s="12">
        <v>3590624.9999999995</v>
      </c>
      <c r="K73" s="12">
        <v>39496875</v>
      </c>
      <c r="L73" s="12"/>
      <c r="M73" s="12"/>
      <c r="N73" s="12">
        <v>43087500</v>
      </c>
    </row>
    <row r="74" spans="1:14" x14ac:dyDescent="0.25">
      <c r="A74" t="s">
        <v>9</v>
      </c>
      <c r="B74" t="s">
        <v>12</v>
      </c>
      <c r="C74" s="12">
        <v>343886437.44000006</v>
      </c>
      <c r="D74" s="12">
        <v>527180308.20000005</v>
      </c>
      <c r="E74" s="12">
        <v>311153759.27999997</v>
      </c>
      <c r="F74" s="12">
        <v>41830172.937613435</v>
      </c>
      <c r="G74" s="12"/>
      <c r="H74" s="12"/>
      <c r="I74" s="12"/>
      <c r="J74" s="12"/>
      <c r="K74" s="12"/>
      <c r="L74" s="12"/>
      <c r="M74" s="12"/>
      <c r="N74" s="12">
        <v>1224050677.8576143</v>
      </c>
    </row>
    <row r="75" spans="1:14" x14ac:dyDescent="0.25">
      <c r="B75" t="s">
        <v>18</v>
      </c>
      <c r="C75" s="12"/>
      <c r="D75" s="12">
        <v>34739686.800000004</v>
      </c>
      <c r="E75" s="12"/>
      <c r="F75" s="12"/>
      <c r="G75" s="12"/>
      <c r="H75" s="12"/>
      <c r="I75" s="12"/>
      <c r="J75" s="12"/>
      <c r="K75" s="12"/>
      <c r="L75" s="12"/>
      <c r="M75" s="12"/>
      <c r="N75" s="12">
        <v>34739686.800000004</v>
      </c>
    </row>
    <row r="76" spans="1:14" x14ac:dyDescent="0.25">
      <c r="B76" t="s">
        <v>19</v>
      </c>
      <c r="C76" s="12"/>
      <c r="D76" s="12">
        <v>4865941.080000001</v>
      </c>
      <c r="E76" s="12"/>
      <c r="F76" s="12"/>
      <c r="G76" s="12"/>
      <c r="H76" s="12"/>
      <c r="I76" s="12"/>
      <c r="J76" s="12"/>
      <c r="K76" s="12"/>
      <c r="L76" s="12"/>
      <c r="M76" s="12"/>
      <c r="N76" s="12">
        <v>4865941.080000001</v>
      </c>
    </row>
    <row r="77" spans="1:14" x14ac:dyDescent="0.25">
      <c r="B77" t="s">
        <v>13</v>
      </c>
      <c r="C77" s="12"/>
      <c r="D77" s="12">
        <v>88019018.189999998</v>
      </c>
      <c r="E77" s="12">
        <v>92954134.349999994</v>
      </c>
      <c r="F77" s="12">
        <v>25571916</v>
      </c>
      <c r="G77" s="12"/>
      <c r="H77" s="12"/>
      <c r="I77" s="12"/>
      <c r="J77" s="12"/>
      <c r="K77" s="12"/>
      <c r="L77" s="12"/>
      <c r="M77" s="12"/>
      <c r="N77" s="12">
        <v>206545068.54000002</v>
      </c>
    </row>
    <row r="78" spans="1:14" x14ac:dyDescent="0.25">
      <c r="A78" t="s">
        <v>10</v>
      </c>
      <c r="B78" t="s">
        <v>12</v>
      </c>
      <c r="C78" s="12"/>
      <c r="D78" s="12"/>
      <c r="E78" s="12">
        <v>217163123.43870717</v>
      </c>
      <c r="F78" s="12">
        <v>70760134.885730922</v>
      </c>
      <c r="G78" s="12"/>
      <c r="H78" s="12"/>
      <c r="I78" s="12"/>
      <c r="J78" s="12"/>
      <c r="K78" s="12"/>
      <c r="L78" s="12"/>
      <c r="M78" s="12"/>
      <c r="N78" s="12">
        <v>287923258.3244381</v>
      </c>
    </row>
    <row r="79" spans="1:14" x14ac:dyDescent="0.25">
      <c r="B79" t="s">
        <v>13</v>
      </c>
      <c r="C79" s="12"/>
      <c r="D79" s="12"/>
      <c r="E79" s="12">
        <v>13805575.199999999</v>
      </c>
      <c r="F79" s="12"/>
      <c r="G79" s="12"/>
      <c r="H79" s="12"/>
      <c r="I79" s="12"/>
      <c r="J79" s="12"/>
      <c r="K79" s="12"/>
      <c r="L79" s="12"/>
      <c r="M79" s="12"/>
      <c r="N79" s="12">
        <v>13805575.199999999</v>
      </c>
    </row>
    <row r="80" spans="1:14" x14ac:dyDescent="0.25">
      <c r="A80" t="s">
        <v>11</v>
      </c>
      <c r="C80" s="12">
        <v>474894218.06999999</v>
      </c>
      <c r="D80" s="12">
        <v>911728654.65000033</v>
      </c>
      <c r="E80" s="12">
        <v>807072389.75786376</v>
      </c>
      <c r="F80" s="12">
        <v>300919031.95271122</v>
      </c>
      <c r="G80" s="12">
        <v>246798583.4844774</v>
      </c>
      <c r="H80" s="12">
        <v>565951449.61119187</v>
      </c>
      <c r="I80" s="12">
        <v>234534893.81169039</v>
      </c>
      <c r="J80" s="12">
        <v>457451889.58830005</v>
      </c>
      <c r="K80" s="12">
        <v>542811283.50452399</v>
      </c>
      <c r="L80" s="12">
        <v>626356921.66799998</v>
      </c>
      <c r="M80" s="12">
        <v>262695501.31668478</v>
      </c>
      <c r="N80" s="12">
        <v>5431214817.4154415</v>
      </c>
    </row>
  </sheetData>
  <mergeCells count="3">
    <mergeCell ref="E3:F3"/>
    <mergeCell ref="E30:F30"/>
    <mergeCell ref="E57:F5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2107F-2857-4426-8B48-54508AD4CCFA}">
  <dimension ref="A1:I198"/>
  <sheetViews>
    <sheetView showGridLines="0" zoomScale="115" zoomScaleNormal="115" workbookViewId="0">
      <selection activeCell="G11" sqref="G11"/>
    </sheetView>
  </sheetViews>
  <sheetFormatPr baseColWidth="10" defaultRowHeight="15" x14ac:dyDescent="0.25"/>
  <cols>
    <col min="1" max="1" width="17.85546875" bestFit="1" customWidth="1"/>
    <col min="2" max="2" width="14.140625" bestFit="1" customWidth="1"/>
    <col min="3" max="3" width="9.28515625" bestFit="1" customWidth="1"/>
    <col min="4" max="4" width="8.5703125" bestFit="1" customWidth="1"/>
    <col min="5" max="5" width="25.140625" bestFit="1" customWidth="1"/>
    <col min="6" max="6" width="12.28515625" customWidth="1"/>
    <col min="7" max="7" width="8" bestFit="1" customWidth="1"/>
    <col min="8" max="8" width="12.85546875" bestFit="1" customWidth="1"/>
    <col min="9" max="9" width="12.28515625" bestFit="1" customWidth="1"/>
    <col min="10" max="13" width="6.7109375" bestFit="1" customWidth="1"/>
    <col min="14" max="14" width="12.5703125" bestFit="1" customWidth="1"/>
  </cols>
  <sheetData>
    <row r="1" spans="1:9" x14ac:dyDescent="0.25">
      <c r="E1" s="3" t="s">
        <v>24</v>
      </c>
      <c r="F1" s="3" t="s">
        <v>25</v>
      </c>
    </row>
    <row r="2" spans="1:9" x14ac:dyDescent="0.25">
      <c r="E2" s="3" t="s">
        <v>26</v>
      </c>
      <c r="F2" s="4">
        <v>46007</v>
      </c>
    </row>
    <row r="3" spans="1:9" x14ac:dyDescent="0.25">
      <c r="E3" s="8" t="s">
        <v>41</v>
      </c>
      <c r="F3" s="9"/>
    </row>
    <row r="4" spans="1:9" x14ac:dyDescent="0.25">
      <c r="A4" s="1" t="s">
        <v>0</v>
      </c>
      <c r="B4" s="1" t="s">
        <v>21</v>
      </c>
      <c r="C4" t="s">
        <v>35</v>
      </c>
      <c r="D4" t="s">
        <v>36</v>
      </c>
      <c r="E4" t="s">
        <v>37</v>
      </c>
    </row>
    <row r="5" spans="1:9" x14ac:dyDescent="0.25">
      <c r="A5" t="s">
        <v>1</v>
      </c>
      <c r="B5" t="s">
        <v>12</v>
      </c>
      <c r="C5" s="7">
        <v>0.15540000000000015</v>
      </c>
      <c r="D5" s="7">
        <v>9.7400000000000042E-2</v>
      </c>
      <c r="E5" s="7">
        <v>0.25280000000000019</v>
      </c>
    </row>
    <row r="6" spans="1:9" x14ac:dyDescent="0.25">
      <c r="B6" t="s">
        <v>13</v>
      </c>
      <c r="C6" s="7">
        <v>0.21609999999999999</v>
      </c>
      <c r="D6" s="7">
        <v>8.8300000000000017E-2</v>
      </c>
      <c r="E6" s="7">
        <v>0.30439999999999995</v>
      </c>
      <c r="H6" s="11"/>
      <c r="I6" s="2"/>
    </row>
    <row r="7" spans="1:9" x14ac:dyDescent="0.25">
      <c r="A7" t="s">
        <v>2</v>
      </c>
      <c r="B7" t="s">
        <v>12</v>
      </c>
      <c r="C7" s="7">
        <v>0.36080000000000001</v>
      </c>
      <c r="D7" s="7">
        <v>0.1215</v>
      </c>
      <c r="E7" s="7">
        <v>0.48230000000000001</v>
      </c>
      <c r="F7" s="2"/>
      <c r="G7" s="11"/>
      <c r="H7" s="11"/>
    </row>
    <row r="8" spans="1:9" x14ac:dyDescent="0.25">
      <c r="B8" t="s">
        <v>14</v>
      </c>
      <c r="C8" s="7">
        <v>0.39119999999999999</v>
      </c>
      <c r="D8" s="7">
        <v>9.959999999999998E-2</v>
      </c>
      <c r="E8" s="7">
        <v>0.49079999999999996</v>
      </c>
    </row>
    <row r="9" spans="1:9" x14ac:dyDescent="0.25">
      <c r="A9" t="s">
        <v>3</v>
      </c>
      <c r="B9" t="s">
        <v>12</v>
      </c>
      <c r="C9" s="7">
        <v>0.1469</v>
      </c>
      <c r="D9" s="7">
        <v>0.12219999999999999</v>
      </c>
      <c r="E9" s="7">
        <v>0.26909999999999995</v>
      </c>
    </row>
    <row r="10" spans="1:9" x14ac:dyDescent="0.25">
      <c r="B10" t="s">
        <v>13</v>
      </c>
      <c r="C10" s="7">
        <v>0.13400000000000001</v>
      </c>
      <c r="D10" s="7">
        <v>0.10050000000000001</v>
      </c>
      <c r="E10" s="7">
        <v>0.23450000000000001</v>
      </c>
    </row>
    <row r="11" spans="1:9" x14ac:dyDescent="0.25">
      <c r="A11" t="s">
        <v>4</v>
      </c>
      <c r="B11" t="s">
        <v>12</v>
      </c>
      <c r="C11" s="7">
        <v>0.1469</v>
      </c>
      <c r="D11" s="7">
        <v>0.122</v>
      </c>
      <c r="E11" s="7">
        <v>0.26890000000000003</v>
      </c>
    </row>
    <row r="12" spans="1:9" x14ac:dyDescent="0.25">
      <c r="A12" t="s">
        <v>5</v>
      </c>
      <c r="B12" t="s">
        <v>12</v>
      </c>
      <c r="C12" s="7">
        <v>0.12630000000000002</v>
      </c>
      <c r="D12" s="7">
        <v>6.4200000000000007E-2</v>
      </c>
      <c r="E12" s="7">
        <v>0.19050000000000006</v>
      </c>
    </row>
    <row r="13" spans="1:9" x14ac:dyDescent="0.25">
      <c r="B13" t="s">
        <v>15</v>
      </c>
      <c r="C13" s="7">
        <v>0.1263</v>
      </c>
      <c r="D13" s="7">
        <v>6.4199999999999993E-2</v>
      </c>
      <c r="E13" s="7">
        <v>0.19049999999999997</v>
      </c>
    </row>
    <row r="14" spans="1:9" x14ac:dyDescent="0.25">
      <c r="B14" t="s">
        <v>13</v>
      </c>
      <c r="C14" s="7">
        <v>0.12539999999999998</v>
      </c>
      <c r="D14" s="7">
        <v>7.530000000000002E-2</v>
      </c>
      <c r="E14" s="7">
        <v>0.20070000000000005</v>
      </c>
    </row>
    <row r="15" spans="1:9" x14ac:dyDescent="0.25">
      <c r="A15" t="s">
        <v>6</v>
      </c>
      <c r="B15" t="s">
        <v>16</v>
      </c>
      <c r="C15" s="7">
        <v>0.18199999999999997</v>
      </c>
      <c r="D15" s="7">
        <v>9.2000000000000026E-2</v>
      </c>
      <c r="E15" s="7">
        <v>0.27400000000000002</v>
      </c>
    </row>
    <row r="16" spans="1:9" x14ac:dyDescent="0.25">
      <c r="A16" t="s">
        <v>7</v>
      </c>
      <c r="B16" t="s">
        <v>12</v>
      </c>
      <c r="C16" s="7">
        <v>0.12379999999999995</v>
      </c>
      <c r="D16" s="7">
        <v>6.6900000000000071E-2</v>
      </c>
      <c r="E16" s="7">
        <v>0.19069999999999976</v>
      </c>
    </row>
    <row r="17" spans="1:6" x14ac:dyDescent="0.25">
      <c r="B17" t="s">
        <v>17</v>
      </c>
      <c r="C17" s="7">
        <v>0.15230000000000002</v>
      </c>
      <c r="D17" s="7">
        <v>5.8500000000000003E-2</v>
      </c>
      <c r="E17" s="7">
        <v>0.21079999999999993</v>
      </c>
    </row>
    <row r="18" spans="1:6" x14ac:dyDescent="0.25">
      <c r="A18" t="s">
        <v>8</v>
      </c>
      <c r="B18" t="s">
        <v>12</v>
      </c>
      <c r="C18" s="7">
        <v>0.12869999999999998</v>
      </c>
      <c r="D18" s="7">
        <v>6.2799999999999981E-2</v>
      </c>
      <c r="E18" s="7">
        <v>0.1915</v>
      </c>
    </row>
    <row r="19" spans="1:6" x14ac:dyDescent="0.25">
      <c r="A19" t="s">
        <v>9</v>
      </c>
      <c r="B19" t="s">
        <v>12</v>
      </c>
      <c r="C19" s="7">
        <v>0.15289999999999987</v>
      </c>
      <c r="D19" s="7">
        <v>0.1019</v>
      </c>
      <c r="E19" s="7">
        <v>0.25479999999999992</v>
      </c>
    </row>
    <row r="20" spans="1:6" x14ac:dyDescent="0.25">
      <c r="B20" t="s">
        <v>18</v>
      </c>
      <c r="C20" s="7">
        <v>0.15290000000000001</v>
      </c>
      <c r="D20" s="7">
        <v>0.1019</v>
      </c>
      <c r="E20" s="7">
        <v>0.25480000000000003</v>
      </c>
    </row>
    <row r="21" spans="1:6" x14ac:dyDescent="0.25">
      <c r="B21" t="s">
        <v>19</v>
      </c>
      <c r="C21" s="7">
        <v>0.15290000000000001</v>
      </c>
      <c r="D21" s="7">
        <v>0.1019</v>
      </c>
      <c r="E21" s="7">
        <v>0.25480000000000003</v>
      </c>
    </row>
    <row r="22" spans="1:6" x14ac:dyDescent="0.25">
      <c r="B22" t="s">
        <v>13</v>
      </c>
      <c r="C22" s="7">
        <v>0.15810000000000002</v>
      </c>
      <c r="D22" s="7">
        <v>8.6000000000000021E-2</v>
      </c>
      <c r="E22" s="7">
        <v>0.2440999999999999</v>
      </c>
    </row>
    <row r="23" spans="1:6" x14ac:dyDescent="0.25">
      <c r="A23" t="s">
        <v>10</v>
      </c>
      <c r="B23" t="s">
        <v>12</v>
      </c>
      <c r="C23" s="7">
        <v>0.15169999999999997</v>
      </c>
      <c r="D23" s="7">
        <v>9.9200000000000066E-2</v>
      </c>
      <c r="E23" s="7">
        <v>0.25089999999999985</v>
      </c>
    </row>
    <row r="24" spans="1:6" x14ac:dyDescent="0.25">
      <c r="B24" t="s">
        <v>13</v>
      </c>
      <c r="C24" s="7">
        <v>0.153</v>
      </c>
      <c r="D24" s="7">
        <v>0.1125</v>
      </c>
      <c r="E24" s="7">
        <v>0.26550000000000001</v>
      </c>
    </row>
    <row r="25" spans="1:6" x14ac:dyDescent="0.25">
      <c r="A25" t="s">
        <v>11</v>
      </c>
      <c r="C25" s="7">
        <v>0.14900171428571415</v>
      </c>
      <c r="D25" s="7">
        <v>8.5988857142857006E-2</v>
      </c>
      <c r="E25" s="7">
        <v>0.2349905714285723</v>
      </c>
    </row>
    <row r="29" spans="1:6" x14ac:dyDescent="0.25">
      <c r="F29" s="6"/>
    </row>
    <row r="30" spans="1:6" x14ac:dyDescent="0.25">
      <c r="E30" s="10"/>
      <c r="F30" s="10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56" spans="5:6" x14ac:dyDescent="0.25">
      <c r="F56" s="6"/>
    </row>
    <row r="57" spans="5:6" x14ac:dyDescent="0.25">
      <c r="E57" s="10"/>
      <c r="F57" s="10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</sheetData>
  <mergeCells count="3">
    <mergeCell ref="E3:F3"/>
    <mergeCell ref="E30:F30"/>
    <mergeCell ref="E57:F5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761BCE-660F-49DB-B97F-9337E3B042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Kilos</vt:lpstr>
      <vt:lpstr>Ingreso USD</vt:lpstr>
      <vt:lpstr>Ingreso CLP</vt:lpstr>
      <vt:lpstr>Unitarios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 Arenas</dc:creator>
  <cp:lastModifiedBy>Sergio  Arenas</cp:lastModifiedBy>
  <dcterms:created xsi:type="dcterms:W3CDTF">2026-03-23T12:12:58Z</dcterms:created>
  <dcterms:modified xsi:type="dcterms:W3CDTF">2026-04-13T19:58:33Z</dcterms:modified>
</cp:coreProperties>
</file>