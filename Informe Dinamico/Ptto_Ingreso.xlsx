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pto_ingreso_up\ppto_ingreso_up\Informe Dinamico\"/>
    </mc:Choice>
  </mc:AlternateContent>
  <xr:revisionPtr revIDLastSave="0" documentId="8_{F1DDE9B8-602C-4BBE-83A8-53838EB0571B}" xr6:coauthVersionLast="47" xr6:coauthVersionMax="47" xr10:uidLastSave="{00000000-0000-0000-0000-000000000000}"/>
  <bookViews>
    <workbookView xWindow="-28920" yWindow="555" windowWidth="29040" windowHeight="15720" activeTab="1" xr2:uid="{DD7FA261-6F1E-48BC-A409-126F100FF07A}"/>
  </bookViews>
  <sheets>
    <sheet name="Kilos" sheetId="1" r:id="rId1"/>
    <sheet name="Ingreso USD" sheetId="2" r:id="rId2"/>
    <sheet name="Ingreso CLP" sheetId="4" r:id="rId3"/>
    <sheet name="Unitarios" sheetId="5" r:id="rId4"/>
  </sheets>
  <calcPr calcId="191029"/>
  <pivotCaches>
    <pivotCache cacheId="290" r:id="rId5"/>
    <pivotCache cacheId="291" r:id="rId6"/>
    <pivotCache cacheId="292" r:id="rId7"/>
    <pivotCache cacheId="293" r:id="rId8"/>
    <pivotCache cacheId="294" r:id="rId9"/>
    <pivotCache cacheId="295" r:id="rId10"/>
    <pivotCache cacheId="296" r:id="rId11"/>
    <pivotCache cacheId="297" r:id="rId12"/>
    <pivotCache cacheId="300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pto_ingreso_b59939f1-22e3-4d1d-bdb5-7c264e25ad2b" name="ppto_ingreso" connection="Consulta - ppto_ingreso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EE9F35-1821-4D30-B66F-FF4B3A20D386}" name="Consulta - ppto_ingreso" description="Conexión a la consulta 'ppto_ingreso' en el libro." type="100" refreshedVersion="8" minRefreshableVersion="5">
    <extLst>
      <ext xmlns:x15="http://schemas.microsoft.com/office/spreadsheetml/2010/11/main" uri="{DE250136-89BD-433C-8126-D09CA5730AF9}">
        <x15:connection id="ad494624-f428-49ce-a4b3-fc26e8bc10d6"/>
      </ext>
    </extLst>
  </connection>
  <connection id="2" xr16:uid="{9F8D0B66-532E-4A41-8B8D-E591484D2853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<sst xmlns="http://schemas.openxmlformats.org/spreadsheetml/2006/main" count="360" uniqueCount="38">
  <si>
    <t>Etiquetas de fila</t>
  </si>
  <si>
    <t>Ciruelas</t>
  </si>
  <si>
    <t>Damasco</t>
  </si>
  <si>
    <t>Durazno</t>
  </si>
  <si>
    <t>Durazno Planos</t>
  </si>
  <si>
    <t>Kiwi</t>
  </si>
  <si>
    <t>Limon</t>
  </si>
  <si>
    <t>Mandarina</t>
  </si>
  <si>
    <t>Naranjas</t>
  </si>
  <si>
    <t>Nectarin</t>
  </si>
  <si>
    <t>Pera</t>
  </si>
  <si>
    <t>Total general</t>
  </si>
  <si>
    <t>AGUA SANTA</t>
  </si>
  <si>
    <t>TRIOFRUT</t>
  </si>
  <si>
    <t>SOFRUCO</t>
  </si>
  <si>
    <t>REINA SUR</t>
  </si>
  <si>
    <t>EL PARQUE</t>
  </si>
  <si>
    <t>IDAHUE</t>
  </si>
  <si>
    <t>CHUCAO</t>
  </si>
  <si>
    <t>TOTAL FRUIT</t>
  </si>
  <si>
    <t>Suma de kgs_a_proc</t>
  </si>
  <si>
    <t>exportadora</t>
  </si>
  <si>
    <t>Kilos</t>
  </si>
  <si>
    <t>Suma de kg_export</t>
  </si>
  <si>
    <t>Temporada</t>
  </si>
  <si>
    <t>25-26</t>
  </si>
  <si>
    <t>Actualizado</t>
  </si>
  <si>
    <t>KILOGRAMOS A PROCESO</t>
  </si>
  <si>
    <t>KILOGRAMOS A FRIO</t>
  </si>
  <si>
    <t>Suma de usd_packing</t>
  </si>
  <si>
    <t>INGRESO PACKING USD</t>
  </si>
  <si>
    <t>INGRESO FRIGORIFICO USD</t>
  </si>
  <si>
    <t>Suma de usd_frio</t>
  </si>
  <si>
    <t>INGRESO TOTAL USD</t>
  </si>
  <si>
    <t>Suma de usd_total</t>
  </si>
  <si>
    <t>Unit Pack</t>
  </si>
  <si>
    <t>unit_frio</t>
  </si>
  <si>
    <t>Promedio de Unitario_Total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</si>
</sst>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000"/>
  </numFmts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pivotButton="1"/>
    <xf numFmtId="3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4" fontId="0" fillId="0" borderId="0" xfId="0" applyNumberFormat="1"/>
    <xf numFmtId="0" fontId="0" fillId="0" borderId="0" xfId="0" applyBorder="1"/>
    <xf numFmtId="14" fontId="0" fillId="0" borderId="0" xfId="0" applyNumberFormat="1" applyBorder="1"/>
    <xf numFmtId="0" fontId="1" fillId="0" borderId="0" xfId="0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36BDB89-E529-4FE7-BAE6-276424645A6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5" Type="http://schemas.openxmlformats.org/officeDocument/2006/relationships/pivotCacheDefinition" Target="pivotCache/pivotCacheDefinition1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rgio Arenas" refreshedDate="46104.40489085648" backgroundQuery="1" createdVersion="8" refreshedVersion="8" minRefreshableVersion="3" recordCount="0" supportSubquery="1" supportAdvancedDrill="1" xr:uid="{A1A13C92-B57F-4FC2-A72E-8DD9DD2EA10E}">
  <cacheSource type="external" connectionId="2"/>
  <cacheFields count="4">
    <cacheField name="[ppto_ingreso].[especie].[especie]" caption="especie" numFmtId="0" hierarchy="2" level="1">
      <sharedItems count="10">
        <s v="Ciruelas"/>
        <s v="Damasco"/>
        <s v="Durazno"/>
        <s v="Durazno Planos"/>
        <s v="Kiwi"/>
        <s v="Limon"/>
        <s v="Mandarina"/>
        <s v="Naranjas"/>
        <s v="Nectarin"/>
        <s v="Pera"/>
      </sharedItems>
    </cacheField>
    <cacheField name="[ppto_ingreso].[exportadora].[exportadora]" caption="exportadora" numFmtId="0" hierarchy="1" level="1">
      <sharedItems count="8">
        <s v="AGUA SANTA"/>
        <s v="TRIOFRUT"/>
        <s v="SOFRUCO"/>
        <s v="REINA SUR"/>
        <s v="EL PARQUE"/>
        <s v="IDAHUE"/>
        <s v="CHUCAO"/>
        <s v="TOTAL FRUIT"/>
      </sharedItems>
    </cacheField>
    <cacheField name="[ppto_ingreso].[mes].[mes]" caption="mes" numFmtId="0" hierarchy="8" level="1">
      <sharedItems containsSemiMixedTypes="0" containsString="0" containsNumber="1" containsInteger="1" minValue="1" maxValue="12" count="11">
        <n v="1"/>
        <n v="2"/>
        <n v="3"/>
        <n v="4"/>
        <n v="5"/>
        <n v="6"/>
        <n v="7"/>
        <n v="8"/>
        <n v="9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ppto_ingreso].[mes].&amp;[1]"/>
            <x15:cachedUniqueName index="1" name="[ppto_ingreso].[mes].&amp;[2]"/>
            <x15:cachedUniqueName index="2" name="[ppto_ingreso].[mes].&amp;[3]"/>
            <x15:cachedUniqueName index="3" name="[ppto_ingreso].[mes].&amp;[4]"/>
            <x15:cachedUniqueName index="4" name="[ppto_ingreso].[mes].&amp;[5]"/>
            <x15:cachedUniqueName index="5" name="[ppto_ingreso].[mes].&amp;[6]"/>
            <x15:cachedUniqueName index="6" name="[ppto_ingreso].[mes].&amp;[7]"/>
            <x15:cachedUniqueName index="7" name="[ppto_ingreso].[mes].&amp;[8]"/>
            <x15:cachedUniqueName index="8" name="[ppto_ingreso].[mes].&amp;[9]"/>
            <x15:cachedUniqueName index="9" name="[ppto_ingreso].[mes].&amp;[11]"/>
            <x15:cachedUniqueName index="10" name="[ppto_ingreso].[mes].&amp;[12]"/>
          </x15:cachedUniqueNames>
        </ext>
      </extLst>
    </cacheField>
    <cacheField name="[Measures].[Suma de kg_export]" caption="Suma de kg_export" numFmtId="0" hierarchy="24" level="32767"/>
  </cacheFields>
  <cacheHierarchies count="34">
    <cacheHierarchy uniqueName="[ppto_ingreso].[temporada]" caption="temporada" attribute="1" defaultMemberUniqueName="[ppto_ingreso].[temporada].[All]" allUniqueName="[ppto_ingreso].[temporada].[All]" dimensionUniqueName="[ppto_ingreso]" displayFolder="" count="0" memberValueDatatype="130" unbalanced="0"/>
    <cacheHierarchy uniqueName="[ppto_ingreso].[exportadora]" caption="exportadora" attribute="1" defaultMemberUniqueName="[ppto_ingreso].[exportadora].[All]" allUniqueName="[ppto_ingreso].[exportadora].[All]" dimensionUniqueName="[ppto_ingreso]" displayFolder="" count="2" memberValueDatatype="130" unbalanced="0">
      <fieldsUsage count="2">
        <fieldUsage x="-1"/>
        <fieldUsage x="1"/>
      </fieldsUsage>
    </cacheHierarchy>
    <cacheHierarchy uniqueName="[ppto_ingreso].[especie]" caption="especie" attribute="1" defaultMemberUniqueName="[ppto_ingreso].[especie].[All]" allUniqueName="[ppto_ingreso].[especie].[All]" dimensionUniqueName="[ppto_ingreso]" displayFolder="" count="2" memberValueDatatype="130" unbalanced="0">
      <fieldsUsage count="2">
        <fieldUsage x="-1"/>
        <fieldUsage x="0"/>
      </fieldsUsage>
    </cacheHierarchy>
    <cacheHierarchy uniqueName="[ppto_ingreso].[variedad]" caption="variedad" attribute="1" defaultMemberUniqueName="[ppto_ingreso].[variedad].[All]" allUniqueName="[ppto_ingreso].[variedad].[All]" dimensionUniqueName="[ppto_ingreso]" displayFolder="" count="0" memberValueDatatype="130" unbalanced="0"/>
    <cacheHierarchy uniqueName="[ppto_ingreso].[productor]" caption="productor" attribute="1" defaultMemberUniqueName="[ppto_ingreso].[productor].[All]" allUniqueName="[ppto_ingreso].[productor].[All]" dimensionUniqueName="[ppto_ingreso]" displayFolder="" count="0" memberValueDatatype="130" unbalanced="0"/>
    <cacheHierarchy uniqueName="[ppto_ingreso].[grupo]" caption="grupo" attribute="1" defaultMemberUniqueName="[ppto_ingreso].[grupo].[All]" allUniqueName="[ppto_ingreso].[grupo].[All]" dimensionUniqueName="[ppto_ingreso]" displayFolder="" count="0" memberValueDatatype="130" unbalanced="0"/>
    <cacheHierarchy uniqueName="[ppto_ingreso].[fecha]" caption="fecha" attribute="1" time="1" defaultMemberUniqueName="[ppto_ingreso].[fecha].[All]" allUniqueName="[ppto_ingreso].[fecha].[All]" dimensionUniqueName="[ppto_ingreso]" displayFolder="" count="0" memberValueDatatype="7" unbalanced="0"/>
    <cacheHierarchy uniqueName="[ppto_ingreso].[semana]" caption="semana" attribute="1" defaultMemberUniqueName="[ppto_ingreso].[semana].[All]" allUniqueName="[ppto_ingreso].[semana].[All]" dimensionUniqueName="[ppto_ingreso]" displayFolder="" count="0" memberValueDatatype="20" unbalanced="0"/>
    <cacheHierarchy uniqueName="[ppto_ingreso].[mes]" caption="mes" attribute="1" defaultMemberUniqueName="[ppto_ingreso].[mes].[All]" allUniqueName="[ppto_ingreso].[mes].[All]" dimensionUniqueName="[ppto_ingreso]" displayFolder="" count="2" memberValueDatatype="20" unbalanced="0">
      <fieldsUsage count="2">
        <fieldUsage x="-1"/>
        <fieldUsage x="2"/>
      </fieldsUsage>
    </cacheHierarchy>
    <cacheHierarchy uniqueName="[ppto_ingreso].[envase]" caption="envase" attribute="1" defaultMemberUniqueName="[ppto_ingreso].[envase].[All]" allUniqueName="[ppto_ingreso].[envase].[All]" dimensionUniqueName="[ppto_ingreso]" displayFolder="" count="0" memberValueDatatype="130" unbalanced="0"/>
    <cacheHierarchy uniqueName="[ppto_ingreso].[kgs_a_proc]" caption="kgs_a_proc" attribute="1" defaultMemberUniqueName="[ppto_ingreso].[kgs_a_proc].[All]" allUniqueName="[ppto_ingreso].[kgs_a_proc].[All]" dimensionUniqueName="[ppto_ingreso]" displayFolder="" count="0" memberValueDatatype="5" unbalanced="0"/>
    <cacheHierarchy uniqueName="[ppto_ingreso].[pct_export]" caption="pct_export" attribute="1" defaultMemberUniqueName="[ppto_ingreso].[pct_export].[All]" allUniqueName="[ppto_ingreso].[pct_export].[All]" dimensionUniqueName="[ppto_ingreso]" displayFolder="" count="0" memberValueDatatype="5" unbalanced="0"/>
    <cacheHierarchy uniqueName="[ppto_ingreso].[kg_export]" caption="kg_export" attribute="1" defaultMemberUniqueName="[ppto_ingreso].[kg_export].[All]" allUniqueName="[ppto_ingreso].[kg_export].[All]" dimensionUniqueName="[ppto_ingreso]" displayFolder="" count="0" memberValueDatatype="5" unbalanced="0"/>
    <cacheHierarchy uniqueName="[ppto_ingreso].[p_unit_packing]" caption="p_unit_packing" attribute="1" defaultMemberUniqueName="[ppto_ingreso].[p_unit_packing].[All]" allUniqueName="[ppto_ingreso].[p_unit_packing].[All]" dimensionUniqueName="[ppto_ingreso]" displayFolder="" count="0" memberValueDatatype="5" unbalanced="0"/>
    <cacheHierarchy uniqueName="[ppto_ingreso].[p_unit_frio]" caption="p_unit_frio" attribute="1" defaultMemberUniqueName="[ppto_ingreso].[p_unit_frio].[All]" allUniqueName="[ppto_ingreso].[p_unit_frio].[All]" dimensionUniqueName="[ppto_ingreso]" displayFolder="" count="0" memberValueDatatype="5" unbalanced="0"/>
    <cacheHierarchy uniqueName="[ppto_ingreso].[Unitario_Total]" caption="Unitario_Total" attribute="1" defaultMemberUniqueName="[ppto_ingreso].[Unitario_Total].[All]" allUniqueName="[ppto_ingreso].[Unitario_Total].[All]" dimensionUniqueName="[ppto_ingreso]" displayFolder="" count="0" memberValueDatatype="5" unbalanced="0"/>
    <cacheHierarchy uniqueName="[ppto_ingreso].[usd_packing]" caption="usd_packing" attribute="1" defaultMemberUniqueName="[ppto_ingreso].[usd_packing].[All]" allUniqueName="[ppto_ingreso].[usd_packing].[All]" dimensionUniqueName="[ppto_ingreso]" displayFolder="" count="0" memberValueDatatype="5" unbalanced="0"/>
    <cacheHierarchy uniqueName="[ppto_ingreso].[usd_frio]" caption="usd_frio" attribute="1" defaultMemberUniqueName="[ppto_ingreso].[usd_frio].[All]" allUniqueName="[ppto_ingreso].[usd_frio].[All]" dimensionUniqueName="[ppto_ingreso]" displayFolder="" count="0" memberValueDatatype="5" unbalanced="0"/>
    <cacheHierarchy uniqueName="[ppto_ingreso].[usd_total]" caption="usd_total" attribute="1" defaultMemberUniqueName="[ppto_ingreso].[usd_total].[All]" allUniqueName="[ppto_ingreso].[usd_total].[All]" dimensionUniqueName="[ppto_ingreso]" displayFolder="" count="0" memberValueDatatype="5" unbalanced="0"/>
    <cacheHierarchy uniqueName="[ppto_ingreso].[tasa_clp_usd]" caption="tasa_clp_usd" attribute="1" defaultMemberUniqueName="[ppto_ingreso].[tasa_clp_usd].[All]" allUniqueName="[ppto_ingreso].[tasa_clp_usd].[All]" dimensionUniqueName="[ppto_ingreso]" displayFolder="" count="0" memberValueDatatype="5" unbalanced="0"/>
    <cacheHierarchy uniqueName="[ppto_ingreso].[ingreso_clp]" caption="ingreso_clp" attribute="1" defaultMemberUniqueName="[ppto_ingreso].[ingreso_clp].[All]" allUniqueName="[ppto_ingreso].[ingreso_clp].[All]" dimensionUniqueName="[ppto_ingreso]" displayFolder="" count="0" memberValueDatatype="5" unbalanced="0"/>
    <cacheHierarchy uniqueName="[Measures].[__XL_Count ppto_ingreso]" caption="__XL_Count ppto_ingreso" measure="1" displayFolder="" measureGroup="ppto_ingreso" count="0" hidden="1"/>
    <cacheHierarchy uniqueName="[Measures].[__No measures defined]" caption="__No measures defined" measure="1" displayFolder="" count="0" hidden="1"/>
    <cacheHierarchy uniqueName="[Measures].[Suma de kgs_a_proc]" caption="Suma de kgs_a_proc" measure="1" displayFolder="" measureGroup="ppto_ingres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kg_export]" caption="Suma de kg_export" measure="1" displayFolder="" measureGroup="ppto_ingres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d_packing]" caption="Suma de usd_packing" measure="1" displayFolder="" measureGroup="ppto_ingres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usd_frio]" caption="Suma de usd_frio" measure="1" displayFolder="" measureGroup="ppto_ingres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usd_total]" caption="Suma de usd_total" measure="1" displayFolder="" measureGroup="ppto_ingreso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p_unit_packing]" caption="Suma de p_unit_packing" measure="1" displayFolder="" measureGroup="ppto_ingres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p_unit_frio]" caption="Suma de p_unit_frio" measure="1" displayFolder="" measureGroup="ppto_ingres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_unit_frio]" caption="Promedio de p_unit_frio" measure="1" displayFolder="" measureGroup="ppto_ingres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_unit_packing]" caption="Promedio de p_unit_packing" measure="1" displayFolder="" measureGroup="ppto_ingres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Unitario_Total]" caption="Suma de Unitario_Total" measure="1" displayFolder="" measureGroup="ppto_ingres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Promedio de Unitario_Total]" caption="Promedio de Unitario_Total" measure="1" displayFolder="" measureGroup="ppto_ingres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ppto_ingreso" uniqueName="[ppto_ingreso]" caption="ppto_ingreso"/>
  </dimensions>
  <measureGroups count="1">
    <measureGroup name="ppto_ingreso" caption="ppto_ingres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rgio Arenas" refreshedDate="46104.404889351848" backgroundQuery="1" createdVersion="8" refreshedVersion="8" minRefreshableVersion="3" recordCount="0" supportSubquery="1" supportAdvancedDrill="1" xr:uid="{A80B2740-F9C6-4A9F-A2AF-0FBDE566ADC0}">
  <cacheSource type="external" connectionId="2"/>
  <cacheFields count="4">
    <cacheField name="[ppto_ingreso].[especie].[especie]" caption="especie" numFmtId="0" hierarchy="2" level="1">
      <sharedItems count="10">
        <s v="Ciruelas"/>
        <s v="Damasco"/>
        <s v="Durazno"/>
        <s v="Durazno Planos"/>
        <s v="Kiwi"/>
        <s v="Limon"/>
        <s v="Mandarina"/>
        <s v="Naranjas"/>
        <s v="Nectarin"/>
        <s v="Pera"/>
      </sharedItems>
    </cacheField>
    <cacheField name="[ppto_ingreso].[exportadora].[exportadora]" caption="exportadora" numFmtId="0" hierarchy="1" level="1">
      <sharedItems count="8">
        <s v="AGUA SANTA"/>
        <s v="TRIOFRUT"/>
        <s v="SOFRUCO"/>
        <s v="REINA SUR"/>
        <s v="EL PARQUE"/>
        <s v="IDAHUE"/>
        <s v="CHUCAO"/>
        <s v="TOTAL FRUIT"/>
      </sharedItems>
    </cacheField>
    <cacheField name="[Measures].[Suma de kgs_a_proc]" caption="Suma de kgs_a_proc" numFmtId="0" hierarchy="23" level="32767"/>
    <cacheField name="[ppto_ingreso].[mes].[mes]" caption="mes" numFmtId="0" hierarchy="8" level="1">
      <sharedItems containsSemiMixedTypes="0" containsString="0" containsNumber="1" containsInteger="1" minValue="1" maxValue="12" count="11">
        <n v="1"/>
        <n v="2"/>
        <n v="3"/>
        <n v="4"/>
        <n v="5"/>
        <n v="6"/>
        <n v="7"/>
        <n v="8"/>
        <n v="9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ppto_ingreso].[mes].&amp;[1]"/>
            <x15:cachedUniqueName index="1" name="[ppto_ingreso].[mes].&amp;[2]"/>
            <x15:cachedUniqueName index="2" name="[ppto_ingreso].[mes].&amp;[3]"/>
            <x15:cachedUniqueName index="3" name="[ppto_ingreso].[mes].&amp;[4]"/>
            <x15:cachedUniqueName index="4" name="[ppto_ingreso].[mes].&amp;[5]"/>
            <x15:cachedUniqueName index="5" name="[ppto_ingreso].[mes].&amp;[6]"/>
            <x15:cachedUniqueName index="6" name="[ppto_ingreso].[mes].&amp;[7]"/>
            <x15:cachedUniqueName index="7" name="[ppto_ingreso].[mes].&amp;[8]"/>
            <x15:cachedUniqueName index="8" name="[ppto_ingreso].[mes].&amp;[9]"/>
            <x15:cachedUniqueName index="9" name="[ppto_ingreso].[mes].&amp;[11]"/>
            <x15:cachedUniqueName index="10" name="[ppto_ingreso].[mes].&amp;[12]"/>
          </x15:cachedUniqueNames>
        </ext>
      </extLst>
    </cacheField>
  </cacheFields>
  <cacheHierarchies count="34">
    <cacheHierarchy uniqueName="[ppto_ingreso].[temporada]" caption="temporada" attribute="1" defaultMemberUniqueName="[ppto_ingreso].[temporada].[All]" allUniqueName="[ppto_ingreso].[temporada].[All]" dimensionUniqueName="[ppto_ingreso]" displayFolder="" count="0" memberValueDatatype="130" unbalanced="0"/>
    <cacheHierarchy uniqueName="[ppto_ingreso].[exportadora]" caption="exportadora" attribute="1" defaultMemberUniqueName="[ppto_ingreso].[exportadora].[All]" allUniqueName="[ppto_ingreso].[exportadora].[All]" dimensionUniqueName="[ppto_ingreso]" displayFolder="" count="2" memberValueDatatype="130" unbalanced="0">
      <fieldsUsage count="2">
        <fieldUsage x="-1"/>
        <fieldUsage x="1"/>
      </fieldsUsage>
    </cacheHierarchy>
    <cacheHierarchy uniqueName="[ppto_ingreso].[especie]" caption="especie" attribute="1" defaultMemberUniqueName="[ppto_ingreso].[especie].[All]" allUniqueName="[ppto_ingreso].[especie].[All]" dimensionUniqueName="[ppto_ingreso]" displayFolder="" count="2" memberValueDatatype="130" unbalanced="0">
      <fieldsUsage count="2">
        <fieldUsage x="-1"/>
        <fieldUsage x="0"/>
      </fieldsUsage>
    </cacheHierarchy>
    <cacheHierarchy uniqueName="[ppto_ingreso].[variedad]" caption="variedad" attribute="1" defaultMemberUniqueName="[ppto_ingreso].[variedad].[All]" allUniqueName="[ppto_ingreso].[variedad].[All]" dimensionUniqueName="[ppto_ingreso]" displayFolder="" count="0" memberValueDatatype="130" unbalanced="0"/>
    <cacheHierarchy uniqueName="[ppto_ingreso].[productor]" caption="productor" attribute="1" defaultMemberUniqueName="[ppto_ingreso].[productor].[All]" allUniqueName="[ppto_ingreso].[productor].[All]" dimensionUniqueName="[ppto_ingreso]" displayFolder="" count="0" memberValueDatatype="130" unbalanced="0"/>
    <cacheHierarchy uniqueName="[ppto_ingreso].[grupo]" caption="grupo" attribute="1" defaultMemberUniqueName="[ppto_ingreso].[grupo].[All]" allUniqueName="[ppto_ingreso].[grupo].[All]" dimensionUniqueName="[ppto_ingreso]" displayFolder="" count="0" memberValueDatatype="130" unbalanced="0"/>
    <cacheHierarchy uniqueName="[ppto_ingreso].[fecha]" caption="fecha" attribute="1" time="1" defaultMemberUniqueName="[ppto_ingreso].[fecha].[All]" allUniqueName="[ppto_ingreso].[fecha].[All]" dimensionUniqueName="[ppto_ingreso]" displayFolder="" count="0" memberValueDatatype="7" unbalanced="0"/>
    <cacheHierarchy uniqueName="[ppto_ingreso].[semana]" caption="semana" attribute="1" defaultMemberUniqueName="[ppto_ingreso].[semana].[All]" allUniqueName="[ppto_ingreso].[semana].[All]" dimensionUniqueName="[ppto_ingreso]" displayFolder="" count="0" memberValueDatatype="20" unbalanced="0"/>
    <cacheHierarchy uniqueName="[ppto_ingreso].[mes]" caption="mes" attribute="1" defaultMemberUniqueName="[ppto_ingreso].[mes].[All]" allUniqueName="[ppto_ingreso].[mes].[All]" dimensionUniqueName="[ppto_ingreso]" displayFolder="" count="2" memberValueDatatype="20" unbalanced="0">
      <fieldsUsage count="2">
        <fieldUsage x="-1"/>
        <fieldUsage x="3"/>
      </fieldsUsage>
    </cacheHierarchy>
    <cacheHierarchy uniqueName="[ppto_ingreso].[envase]" caption="envase" attribute="1" defaultMemberUniqueName="[ppto_ingreso].[envase].[All]" allUniqueName="[ppto_ingreso].[envase].[All]" dimensionUniqueName="[ppto_ingreso]" displayFolder="" count="0" memberValueDatatype="130" unbalanced="0"/>
    <cacheHierarchy uniqueName="[ppto_ingreso].[kgs_a_proc]" caption="kgs_a_proc" attribute="1" defaultMemberUniqueName="[ppto_ingreso].[kgs_a_proc].[All]" allUniqueName="[ppto_ingreso].[kgs_a_proc].[All]" dimensionUniqueName="[ppto_ingreso]" displayFolder="" count="0" memberValueDatatype="5" unbalanced="0"/>
    <cacheHierarchy uniqueName="[ppto_ingreso].[pct_export]" caption="pct_export" attribute="1" defaultMemberUniqueName="[ppto_ingreso].[pct_export].[All]" allUniqueName="[ppto_ingreso].[pct_export].[All]" dimensionUniqueName="[ppto_ingreso]" displayFolder="" count="0" memberValueDatatype="5" unbalanced="0"/>
    <cacheHierarchy uniqueName="[ppto_ingreso].[kg_export]" caption="kg_export" attribute="1" defaultMemberUniqueName="[ppto_ingreso].[kg_export].[All]" allUniqueName="[ppto_ingreso].[kg_export].[All]" dimensionUniqueName="[ppto_ingreso]" displayFolder="" count="0" memberValueDatatype="5" unbalanced="0"/>
    <cacheHierarchy uniqueName="[ppto_ingreso].[p_unit_packing]" caption="p_unit_packing" attribute="1" defaultMemberUniqueName="[ppto_ingreso].[p_unit_packing].[All]" allUniqueName="[ppto_ingreso].[p_unit_packing].[All]" dimensionUniqueName="[ppto_ingreso]" displayFolder="" count="0" memberValueDatatype="5" unbalanced="0"/>
    <cacheHierarchy uniqueName="[ppto_ingreso].[p_unit_frio]" caption="p_unit_frio" attribute="1" defaultMemberUniqueName="[ppto_ingreso].[p_unit_frio].[All]" allUniqueName="[ppto_ingreso].[p_unit_frio].[All]" dimensionUniqueName="[ppto_ingreso]" displayFolder="" count="0" memberValueDatatype="5" unbalanced="0"/>
    <cacheHierarchy uniqueName="[ppto_ingreso].[Unitario_Total]" caption="Unitario_Total" attribute="1" defaultMemberUniqueName="[ppto_ingreso].[Unitario_Total].[All]" allUniqueName="[ppto_ingreso].[Unitario_Total].[All]" dimensionUniqueName="[ppto_ingreso]" displayFolder="" count="0" memberValueDatatype="5" unbalanced="0"/>
    <cacheHierarchy uniqueName="[ppto_ingreso].[usd_packing]" caption="usd_packing" attribute="1" defaultMemberUniqueName="[ppto_ingreso].[usd_packing].[All]" allUniqueName="[ppto_ingreso].[usd_packing].[All]" dimensionUniqueName="[ppto_ingreso]" displayFolder="" count="0" memberValueDatatype="5" unbalanced="0"/>
    <cacheHierarchy uniqueName="[ppto_ingreso].[usd_frio]" caption="usd_frio" attribute="1" defaultMemberUniqueName="[ppto_ingreso].[usd_frio].[All]" allUniqueName="[ppto_ingreso].[usd_frio].[All]" dimensionUniqueName="[ppto_ingreso]" displayFolder="" count="0" memberValueDatatype="5" unbalanced="0"/>
    <cacheHierarchy uniqueName="[ppto_ingreso].[usd_total]" caption="usd_total" attribute="1" defaultMemberUniqueName="[ppto_ingreso].[usd_total].[All]" allUniqueName="[ppto_ingreso].[usd_total].[All]" dimensionUniqueName="[ppto_ingreso]" displayFolder="" count="0" memberValueDatatype="5" unbalanced="0"/>
    <cacheHierarchy uniqueName="[ppto_ingreso].[tasa_clp_usd]" caption="tasa_clp_usd" attribute="1" defaultMemberUniqueName="[ppto_ingreso].[tasa_clp_usd].[All]" allUniqueName="[ppto_ingreso].[tasa_clp_usd].[All]" dimensionUniqueName="[ppto_ingreso]" displayFolder="" count="0" memberValueDatatype="5" unbalanced="0"/>
    <cacheHierarchy uniqueName="[ppto_ingreso].[ingreso_clp]" caption="ingreso_clp" attribute="1" defaultMemberUniqueName="[ppto_ingreso].[ingreso_clp].[All]" allUniqueName="[ppto_ingreso].[ingreso_clp].[All]" dimensionUniqueName="[ppto_ingreso]" displayFolder="" count="0" memberValueDatatype="5" unbalanced="0"/>
    <cacheHierarchy uniqueName="[Measures].[__XL_Count ppto_ingreso]" caption="__XL_Count ppto_ingreso" measure="1" displayFolder="" measureGroup="ppto_ingreso" count="0" hidden="1"/>
    <cacheHierarchy uniqueName="[Measures].[__No measures defined]" caption="__No measures defined" measure="1" displayFolder="" count="0" hidden="1"/>
    <cacheHierarchy uniqueName="[Measures].[Suma de kgs_a_proc]" caption="Suma de kgs_a_proc" measure="1" displayFolder="" measureGroup="ppto_ingres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kg_export]" caption="Suma de kg_export" measure="1" displayFolder="" measureGroup="ppto_ingres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d_packing]" caption="Suma de usd_packing" measure="1" displayFolder="" measureGroup="ppto_ingres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usd_frio]" caption="Suma de usd_frio" measure="1" displayFolder="" measureGroup="ppto_ingres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usd_total]" caption="Suma de usd_total" measure="1" displayFolder="" measureGroup="ppto_ingreso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p_unit_packing]" caption="Suma de p_unit_packing" measure="1" displayFolder="" measureGroup="ppto_ingres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p_unit_frio]" caption="Suma de p_unit_frio" measure="1" displayFolder="" measureGroup="ppto_ingres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_unit_frio]" caption="Promedio de p_unit_frio" measure="1" displayFolder="" measureGroup="ppto_ingres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_unit_packing]" caption="Promedio de p_unit_packing" measure="1" displayFolder="" measureGroup="ppto_ingres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Unitario_Total]" caption="Suma de Unitario_Total" measure="1" displayFolder="" measureGroup="ppto_ingres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Promedio de Unitario_Total]" caption="Promedio de Unitario_Total" measure="1" displayFolder="" measureGroup="ppto_ingres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ppto_ingreso" uniqueName="[ppto_ingreso]" caption="ppto_ingreso"/>
  </dimensions>
  <measureGroups count="1">
    <measureGroup name="ppto_ingreso" caption="ppto_ingres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rgio Arenas" refreshedDate="46104.404885185184" backgroundQuery="1" createdVersion="8" refreshedVersion="8" minRefreshableVersion="3" recordCount="0" supportSubquery="1" supportAdvancedDrill="1" xr:uid="{260D189D-1FE2-4A65-AA6B-66C836660F08}">
  <cacheSource type="external" connectionId="2"/>
  <cacheFields count="4">
    <cacheField name="[ppto_ingreso].[especie].[especie]" caption="especie" numFmtId="0" hierarchy="2" level="1">
      <sharedItems count="10">
        <s v="Ciruelas"/>
        <s v="Damasco"/>
        <s v="Durazno"/>
        <s v="Durazno Planos"/>
        <s v="Kiwi"/>
        <s v="Limon"/>
        <s v="Mandarina"/>
        <s v="Naranjas"/>
        <s v="Nectarin"/>
        <s v="Pera"/>
      </sharedItems>
    </cacheField>
    <cacheField name="[ppto_ingreso].[exportadora].[exportadora]" caption="exportadora" numFmtId="0" hierarchy="1" level="1">
      <sharedItems count="8">
        <s v="AGUA SANTA"/>
        <s v="TRIOFRUT"/>
        <s v="SOFRUCO"/>
        <s v="REINA SUR"/>
        <s v="EL PARQUE"/>
        <s v="IDAHUE"/>
        <s v="CHUCAO"/>
        <s v="TOTAL FRUIT"/>
      </sharedItems>
    </cacheField>
    <cacheField name="[ppto_ingreso].[mes].[mes]" caption="mes" numFmtId="0" hierarchy="8" level="1">
      <sharedItems containsSemiMixedTypes="0" containsString="0" containsNumber="1" containsInteger="1" minValue="1" maxValue="12" count="11">
        <n v="1"/>
        <n v="2"/>
        <n v="3"/>
        <n v="4"/>
        <n v="5"/>
        <n v="6"/>
        <n v="7"/>
        <n v="8"/>
        <n v="9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ppto_ingreso].[mes].&amp;[1]"/>
            <x15:cachedUniqueName index="1" name="[ppto_ingreso].[mes].&amp;[2]"/>
            <x15:cachedUniqueName index="2" name="[ppto_ingreso].[mes].&amp;[3]"/>
            <x15:cachedUniqueName index="3" name="[ppto_ingreso].[mes].&amp;[4]"/>
            <x15:cachedUniqueName index="4" name="[ppto_ingreso].[mes].&amp;[5]"/>
            <x15:cachedUniqueName index="5" name="[ppto_ingreso].[mes].&amp;[6]"/>
            <x15:cachedUniqueName index="6" name="[ppto_ingreso].[mes].&amp;[7]"/>
            <x15:cachedUniqueName index="7" name="[ppto_ingreso].[mes].&amp;[8]"/>
            <x15:cachedUniqueName index="8" name="[ppto_ingreso].[mes].&amp;[9]"/>
            <x15:cachedUniqueName index="9" name="[ppto_ingreso].[mes].&amp;[11]"/>
            <x15:cachedUniqueName index="10" name="[ppto_ingreso].[mes].&amp;[12]"/>
          </x15:cachedUniqueNames>
        </ext>
      </extLst>
    </cacheField>
    <cacheField name="[Measures].[Suma de usd_total]" caption="Suma de usd_total" numFmtId="0" hierarchy="27" level="32767"/>
  </cacheFields>
  <cacheHierarchies count="34">
    <cacheHierarchy uniqueName="[ppto_ingreso].[temporada]" caption="temporada" attribute="1" defaultMemberUniqueName="[ppto_ingreso].[temporada].[All]" allUniqueName="[ppto_ingreso].[temporada].[All]" dimensionUniqueName="[ppto_ingreso]" displayFolder="" count="0" memberValueDatatype="130" unbalanced="0"/>
    <cacheHierarchy uniqueName="[ppto_ingreso].[exportadora]" caption="exportadora" attribute="1" defaultMemberUniqueName="[ppto_ingreso].[exportadora].[All]" allUniqueName="[ppto_ingreso].[exportadora].[All]" dimensionUniqueName="[ppto_ingreso]" displayFolder="" count="2" memberValueDatatype="130" unbalanced="0">
      <fieldsUsage count="2">
        <fieldUsage x="-1"/>
        <fieldUsage x="1"/>
      </fieldsUsage>
    </cacheHierarchy>
    <cacheHierarchy uniqueName="[ppto_ingreso].[especie]" caption="especie" attribute="1" defaultMemberUniqueName="[ppto_ingreso].[especie].[All]" allUniqueName="[ppto_ingreso].[especie].[All]" dimensionUniqueName="[ppto_ingreso]" displayFolder="" count="2" memberValueDatatype="130" unbalanced="0">
      <fieldsUsage count="2">
        <fieldUsage x="-1"/>
        <fieldUsage x="0"/>
      </fieldsUsage>
    </cacheHierarchy>
    <cacheHierarchy uniqueName="[ppto_ingreso].[variedad]" caption="variedad" attribute="1" defaultMemberUniqueName="[ppto_ingreso].[variedad].[All]" allUniqueName="[ppto_ingreso].[variedad].[All]" dimensionUniqueName="[ppto_ingreso]" displayFolder="" count="0" memberValueDatatype="130" unbalanced="0"/>
    <cacheHierarchy uniqueName="[ppto_ingreso].[productor]" caption="productor" attribute="1" defaultMemberUniqueName="[ppto_ingreso].[productor].[All]" allUniqueName="[ppto_ingreso].[productor].[All]" dimensionUniqueName="[ppto_ingreso]" displayFolder="" count="0" memberValueDatatype="130" unbalanced="0"/>
    <cacheHierarchy uniqueName="[ppto_ingreso].[grupo]" caption="grupo" attribute="1" defaultMemberUniqueName="[ppto_ingreso].[grupo].[All]" allUniqueName="[ppto_ingreso].[grupo].[All]" dimensionUniqueName="[ppto_ingreso]" displayFolder="" count="0" memberValueDatatype="130" unbalanced="0"/>
    <cacheHierarchy uniqueName="[ppto_ingreso].[fecha]" caption="fecha" attribute="1" time="1" defaultMemberUniqueName="[ppto_ingreso].[fecha].[All]" allUniqueName="[ppto_ingreso].[fecha].[All]" dimensionUniqueName="[ppto_ingreso]" displayFolder="" count="0" memberValueDatatype="7" unbalanced="0"/>
    <cacheHierarchy uniqueName="[ppto_ingreso].[semana]" caption="semana" attribute="1" defaultMemberUniqueName="[ppto_ingreso].[semana].[All]" allUniqueName="[ppto_ingreso].[semana].[All]" dimensionUniqueName="[ppto_ingreso]" displayFolder="" count="0" memberValueDatatype="20" unbalanced="0"/>
    <cacheHierarchy uniqueName="[ppto_ingreso].[mes]" caption="mes" attribute="1" defaultMemberUniqueName="[ppto_ingreso].[mes].[All]" allUniqueName="[ppto_ingreso].[mes].[All]" dimensionUniqueName="[ppto_ingreso]" displayFolder="" count="2" memberValueDatatype="20" unbalanced="0">
      <fieldsUsage count="2">
        <fieldUsage x="-1"/>
        <fieldUsage x="2"/>
      </fieldsUsage>
    </cacheHierarchy>
    <cacheHierarchy uniqueName="[ppto_ingreso].[envase]" caption="envase" attribute="1" defaultMemberUniqueName="[ppto_ingreso].[envase].[All]" allUniqueName="[ppto_ingreso].[envase].[All]" dimensionUniqueName="[ppto_ingreso]" displayFolder="" count="0" memberValueDatatype="130" unbalanced="0"/>
    <cacheHierarchy uniqueName="[ppto_ingreso].[kgs_a_proc]" caption="kgs_a_proc" attribute="1" defaultMemberUniqueName="[ppto_ingreso].[kgs_a_proc].[All]" allUniqueName="[ppto_ingreso].[kgs_a_proc].[All]" dimensionUniqueName="[ppto_ingreso]" displayFolder="" count="0" memberValueDatatype="5" unbalanced="0"/>
    <cacheHierarchy uniqueName="[ppto_ingreso].[pct_export]" caption="pct_export" attribute="1" defaultMemberUniqueName="[ppto_ingreso].[pct_export].[All]" allUniqueName="[ppto_ingreso].[pct_export].[All]" dimensionUniqueName="[ppto_ingreso]" displayFolder="" count="0" memberValueDatatype="5" unbalanced="0"/>
    <cacheHierarchy uniqueName="[ppto_ingreso].[kg_export]" caption="kg_export" attribute="1" defaultMemberUniqueName="[ppto_ingreso].[kg_export].[All]" allUniqueName="[ppto_ingreso].[kg_export].[All]" dimensionUniqueName="[ppto_ingreso]" displayFolder="" count="0" memberValueDatatype="5" unbalanced="0"/>
    <cacheHierarchy uniqueName="[ppto_ingreso].[p_unit_packing]" caption="p_unit_packing" attribute="1" defaultMemberUniqueName="[ppto_ingreso].[p_unit_packing].[All]" allUniqueName="[ppto_ingreso].[p_unit_packing].[All]" dimensionUniqueName="[ppto_ingreso]" displayFolder="" count="0" memberValueDatatype="5" unbalanced="0"/>
    <cacheHierarchy uniqueName="[ppto_ingreso].[p_unit_frio]" caption="p_unit_frio" attribute="1" defaultMemberUniqueName="[ppto_ingreso].[p_unit_frio].[All]" allUniqueName="[ppto_ingreso].[p_unit_frio].[All]" dimensionUniqueName="[ppto_ingreso]" displayFolder="" count="0" memberValueDatatype="5" unbalanced="0"/>
    <cacheHierarchy uniqueName="[ppto_ingreso].[Unitario_Total]" caption="Unitario_Total" attribute="1" defaultMemberUniqueName="[ppto_ingreso].[Unitario_Total].[All]" allUniqueName="[ppto_ingreso].[Unitario_Total].[All]" dimensionUniqueName="[ppto_ingreso]" displayFolder="" count="0" memberValueDatatype="5" unbalanced="0"/>
    <cacheHierarchy uniqueName="[ppto_ingreso].[usd_packing]" caption="usd_packing" attribute="1" defaultMemberUniqueName="[ppto_ingreso].[usd_packing].[All]" allUniqueName="[ppto_ingreso].[usd_packing].[All]" dimensionUniqueName="[ppto_ingreso]" displayFolder="" count="0" memberValueDatatype="5" unbalanced="0"/>
    <cacheHierarchy uniqueName="[ppto_ingreso].[usd_frio]" caption="usd_frio" attribute="1" defaultMemberUniqueName="[ppto_ingreso].[usd_frio].[All]" allUniqueName="[ppto_ingreso].[usd_frio].[All]" dimensionUniqueName="[ppto_ingreso]" displayFolder="" count="0" memberValueDatatype="5" unbalanced="0"/>
    <cacheHierarchy uniqueName="[ppto_ingreso].[usd_total]" caption="usd_total" attribute="1" defaultMemberUniqueName="[ppto_ingreso].[usd_total].[All]" allUniqueName="[ppto_ingreso].[usd_total].[All]" dimensionUniqueName="[ppto_ingreso]" displayFolder="" count="0" memberValueDatatype="5" unbalanced="0"/>
    <cacheHierarchy uniqueName="[ppto_ingreso].[tasa_clp_usd]" caption="tasa_clp_usd" attribute="1" defaultMemberUniqueName="[ppto_ingreso].[tasa_clp_usd].[All]" allUniqueName="[ppto_ingreso].[tasa_clp_usd].[All]" dimensionUniqueName="[ppto_ingreso]" displayFolder="" count="0" memberValueDatatype="5" unbalanced="0"/>
    <cacheHierarchy uniqueName="[ppto_ingreso].[ingreso_clp]" caption="ingreso_clp" attribute="1" defaultMemberUniqueName="[ppto_ingreso].[ingreso_clp].[All]" allUniqueName="[ppto_ingreso].[ingreso_clp].[All]" dimensionUniqueName="[ppto_ingreso]" displayFolder="" count="0" memberValueDatatype="5" unbalanced="0"/>
    <cacheHierarchy uniqueName="[Measures].[__XL_Count ppto_ingreso]" caption="__XL_Count ppto_ingreso" measure="1" displayFolder="" measureGroup="ppto_ingreso" count="0" hidden="1"/>
    <cacheHierarchy uniqueName="[Measures].[__No measures defined]" caption="__No measures defined" measure="1" displayFolder="" count="0" hidden="1"/>
    <cacheHierarchy uniqueName="[Measures].[Suma de kgs_a_proc]" caption="Suma de kgs_a_proc" measure="1" displayFolder="" measureGroup="ppto_ingres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kg_export]" caption="Suma de kg_export" measure="1" displayFolder="" measureGroup="ppto_ingres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d_packing]" caption="Suma de usd_packing" measure="1" displayFolder="" measureGroup="ppto_ingres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usd_frio]" caption="Suma de usd_frio" measure="1" displayFolder="" measureGroup="ppto_ingres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usd_total]" caption="Suma de usd_total" measure="1" displayFolder="" measureGroup="ppto_ingres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p_unit_packing]" caption="Suma de p_unit_packing" measure="1" displayFolder="" measureGroup="ppto_ingres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p_unit_frio]" caption="Suma de p_unit_frio" measure="1" displayFolder="" measureGroup="ppto_ingres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_unit_frio]" caption="Promedio de p_unit_frio" measure="1" displayFolder="" measureGroup="ppto_ingres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_unit_packing]" caption="Promedio de p_unit_packing" measure="1" displayFolder="" measureGroup="ppto_ingres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Unitario_Total]" caption="Suma de Unitario_Total" measure="1" displayFolder="" measureGroup="ppto_ingres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Promedio de Unitario_Total]" caption="Promedio de Unitario_Total" measure="1" displayFolder="" measureGroup="ppto_ingres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ppto_ingreso" uniqueName="[ppto_ingreso]" caption="ppto_ingreso"/>
  </dimensions>
  <measureGroups count="1">
    <measureGroup name="ppto_ingreso" caption="ppto_ingres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rgio Arenas" refreshedDate="46104.404887962963" backgroundQuery="1" createdVersion="8" refreshedVersion="8" minRefreshableVersion="3" recordCount="0" supportSubquery="1" supportAdvancedDrill="1" xr:uid="{B03B9E14-A675-4FB3-A7FD-8B8DF869D693}">
  <cacheSource type="external" connectionId="2"/>
  <cacheFields count="4">
    <cacheField name="[ppto_ingreso].[especie].[especie]" caption="especie" numFmtId="0" hierarchy="2" level="1">
      <sharedItems count="10">
        <s v="Ciruelas"/>
        <s v="Damasco"/>
        <s v="Durazno"/>
        <s v="Durazno Planos"/>
        <s v="Kiwi"/>
        <s v="Limon"/>
        <s v="Mandarina"/>
        <s v="Naranjas"/>
        <s v="Nectarin"/>
        <s v="Pera"/>
      </sharedItems>
    </cacheField>
    <cacheField name="[ppto_ingreso].[exportadora].[exportadora]" caption="exportadora" numFmtId="0" hierarchy="1" level="1">
      <sharedItems count="8">
        <s v="AGUA SANTA"/>
        <s v="TRIOFRUT"/>
        <s v="SOFRUCO"/>
        <s v="REINA SUR"/>
        <s v="EL PARQUE"/>
        <s v="IDAHUE"/>
        <s v="CHUCAO"/>
        <s v="TOTAL FRUIT"/>
      </sharedItems>
    </cacheField>
    <cacheField name="[ppto_ingreso].[mes].[mes]" caption="mes" numFmtId="0" hierarchy="8" level="1">
      <sharedItems containsSemiMixedTypes="0" containsString="0" containsNumber="1" containsInteger="1" minValue="1" maxValue="12" count="11">
        <n v="1"/>
        <n v="2"/>
        <n v="3"/>
        <n v="4"/>
        <n v="5"/>
        <n v="6"/>
        <n v="7"/>
        <n v="8"/>
        <n v="9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ppto_ingreso].[mes].&amp;[1]"/>
            <x15:cachedUniqueName index="1" name="[ppto_ingreso].[mes].&amp;[2]"/>
            <x15:cachedUniqueName index="2" name="[ppto_ingreso].[mes].&amp;[3]"/>
            <x15:cachedUniqueName index="3" name="[ppto_ingreso].[mes].&amp;[4]"/>
            <x15:cachedUniqueName index="4" name="[ppto_ingreso].[mes].&amp;[5]"/>
            <x15:cachedUniqueName index="5" name="[ppto_ingreso].[mes].&amp;[6]"/>
            <x15:cachedUniqueName index="6" name="[ppto_ingreso].[mes].&amp;[7]"/>
            <x15:cachedUniqueName index="7" name="[ppto_ingreso].[mes].&amp;[8]"/>
            <x15:cachedUniqueName index="8" name="[ppto_ingreso].[mes].&amp;[9]"/>
            <x15:cachedUniqueName index="9" name="[ppto_ingreso].[mes].&amp;[11]"/>
            <x15:cachedUniqueName index="10" name="[ppto_ingreso].[mes].&amp;[12]"/>
          </x15:cachedUniqueNames>
        </ext>
      </extLst>
    </cacheField>
    <cacheField name="[Measures].[Suma de usd_packing]" caption="Suma de usd_packing" numFmtId="0" hierarchy="25" level="32767"/>
  </cacheFields>
  <cacheHierarchies count="34">
    <cacheHierarchy uniqueName="[ppto_ingreso].[temporada]" caption="temporada" attribute="1" defaultMemberUniqueName="[ppto_ingreso].[temporada].[All]" allUniqueName="[ppto_ingreso].[temporada].[All]" dimensionUniqueName="[ppto_ingreso]" displayFolder="" count="0" memberValueDatatype="130" unbalanced="0"/>
    <cacheHierarchy uniqueName="[ppto_ingreso].[exportadora]" caption="exportadora" attribute="1" defaultMemberUniqueName="[ppto_ingreso].[exportadora].[All]" allUniqueName="[ppto_ingreso].[exportadora].[All]" dimensionUniqueName="[ppto_ingreso]" displayFolder="" count="2" memberValueDatatype="130" unbalanced="0">
      <fieldsUsage count="2">
        <fieldUsage x="-1"/>
        <fieldUsage x="1"/>
      </fieldsUsage>
    </cacheHierarchy>
    <cacheHierarchy uniqueName="[ppto_ingreso].[especie]" caption="especie" attribute="1" defaultMemberUniqueName="[ppto_ingreso].[especie].[All]" allUniqueName="[ppto_ingreso].[especie].[All]" dimensionUniqueName="[ppto_ingreso]" displayFolder="" count="2" memberValueDatatype="130" unbalanced="0">
      <fieldsUsage count="2">
        <fieldUsage x="-1"/>
        <fieldUsage x="0"/>
      </fieldsUsage>
    </cacheHierarchy>
    <cacheHierarchy uniqueName="[ppto_ingreso].[variedad]" caption="variedad" attribute="1" defaultMemberUniqueName="[ppto_ingreso].[variedad].[All]" allUniqueName="[ppto_ingreso].[variedad].[All]" dimensionUniqueName="[ppto_ingreso]" displayFolder="" count="0" memberValueDatatype="130" unbalanced="0"/>
    <cacheHierarchy uniqueName="[ppto_ingreso].[productor]" caption="productor" attribute="1" defaultMemberUniqueName="[ppto_ingreso].[productor].[All]" allUniqueName="[ppto_ingreso].[productor].[All]" dimensionUniqueName="[ppto_ingreso]" displayFolder="" count="0" memberValueDatatype="130" unbalanced="0"/>
    <cacheHierarchy uniqueName="[ppto_ingreso].[grupo]" caption="grupo" attribute="1" defaultMemberUniqueName="[ppto_ingreso].[grupo].[All]" allUniqueName="[ppto_ingreso].[grupo].[All]" dimensionUniqueName="[ppto_ingreso]" displayFolder="" count="0" memberValueDatatype="130" unbalanced="0"/>
    <cacheHierarchy uniqueName="[ppto_ingreso].[fecha]" caption="fecha" attribute="1" time="1" defaultMemberUniqueName="[ppto_ingreso].[fecha].[All]" allUniqueName="[ppto_ingreso].[fecha].[All]" dimensionUniqueName="[ppto_ingreso]" displayFolder="" count="0" memberValueDatatype="7" unbalanced="0"/>
    <cacheHierarchy uniqueName="[ppto_ingreso].[semana]" caption="semana" attribute="1" defaultMemberUniqueName="[ppto_ingreso].[semana].[All]" allUniqueName="[ppto_ingreso].[semana].[All]" dimensionUniqueName="[ppto_ingreso]" displayFolder="" count="0" memberValueDatatype="20" unbalanced="0"/>
    <cacheHierarchy uniqueName="[ppto_ingreso].[mes]" caption="mes" attribute="1" defaultMemberUniqueName="[ppto_ingreso].[mes].[All]" allUniqueName="[ppto_ingreso].[mes].[All]" dimensionUniqueName="[ppto_ingreso]" displayFolder="" count="2" memberValueDatatype="20" unbalanced="0">
      <fieldsUsage count="2">
        <fieldUsage x="-1"/>
        <fieldUsage x="2"/>
      </fieldsUsage>
    </cacheHierarchy>
    <cacheHierarchy uniqueName="[ppto_ingreso].[envase]" caption="envase" attribute="1" defaultMemberUniqueName="[ppto_ingreso].[envase].[All]" allUniqueName="[ppto_ingreso].[envase].[All]" dimensionUniqueName="[ppto_ingreso]" displayFolder="" count="0" memberValueDatatype="130" unbalanced="0"/>
    <cacheHierarchy uniqueName="[ppto_ingreso].[kgs_a_proc]" caption="kgs_a_proc" attribute="1" defaultMemberUniqueName="[ppto_ingreso].[kgs_a_proc].[All]" allUniqueName="[ppto_ingreso].[kgs_a_proc].[All]" dimensionUniqueName="[ppto_ingreso]" displayFolder="" count="0" memberValueDatatype="5" unbalanced="0"/>
    <cacheHierarchy uniqueName="[ppto_ingreso].[pct_export]" caption="pct_export" attribute="1" defaultMemberUniqueName="[ppto_ingreso].[pct_export].[All]" allUniqueName="[ppto_ingreso].[pct_export].[All]" dimensionUniqueName="[ppto_ingreso]" displayFolder="" count="0" memberValueDatatype="5" unbalanced="0"/>
    <cacheHierarchy uniqueName="[ppto_ingreso].[kg_export]" caption="kg_export" attribute="1" defaultMemberUniqueName="[ppto_ingreso].[kg_export].[All]" allUniqueName="[ppto_ingreso].[kg_export].[All]" dimensionUniqueName="[ppto_ingreso]" displayFolder="" count="0" memberValueDatatype="5" unbalanced="0"/>
    <cacheHierarchy uniqueName="[ppto_ingreso].[p_unit_packing]" caption="p_unit_packing" attribute="1" defaultMemberUniqueName="[ppto_ingreso].[p_unit_packing].[All]" allUniqueName="[ppto_ingreso].[p_unit_packing].[All]" dimensionUniqueName="[ppto_ingreso]" displayFolder="" count="0" memberValueDatatype="5" unbalanced="0"/>
    <cacheHierarchy uniqueName="[ppto_ingreso].[p_unit_frio]" caption="p_unit_frio" attribute="1" defaultMemberUniqueName="[ppto_ingreso].[p_unit_frio].[All]" allUniqueName="[ppto_ingreso].[p_unit_frio].[All]" dimensionUniqueName="[ppto_ingreso]" displayFolder="" count="0" memberValueDatatype="5" unbalanced="0"/>
    <cacheHierarchy uniqueName="[ppto_ingreso].[Unitario_Total]" caption="Unitario_Total" attribute="1" defaultMemberUniqueName="[ppto_ingreso].[Unitario_Total].[All]" allUniqueName="[ppto_ingreso].[Unitario_Total].[All]" dimensionUniqueName="[ppto_ingreso]" displayFolder="" count="0" memberValueDatatype="5" unbalanced="0"/>
    <cacheHierarchy uniqueName="[ppto_ingreso].[usd_packing]" caption="usd_packing" attribute="1" defaultMemberUniqueName="[ppto_ingreso].[usd_packing].[All]" allUniqueName="[ppto_ingreso].[usd_packing].[All]" dimensionUniqueName="[ppto_ingreso]" displayFolder="" count="0" memberValueDatatype="5" unbalanced="0"/>
    <cacheHierarchy uniqueName="[ppto_ingreso].[usd_frio]" caption="usd_frio" attribute="1" defaultMemberUniqueName="[ppto_ingreso].[usd_frio].[All]" allUniqueName="[ppto_ingreso].[usd_frio].[All]" dimensionUniqueName="[ppto_ingreso]" displayFolder="" count="0" memberValueDatatype="5" unbalanced="0"/>
    <cacheHierarchy uniqueName="[ppto_ingreso].[usd_total]" caption="usd_total" attribute="1" defaultMemberUniqueName="[ppto_ingreso].[usd_total].[All]" allUniqueName="[ppto_ingreso].[usd_total].[All]" dimensionUniqueName="[ppto_ingreso]" displayFolder="" count="0" memberValueDatatype="5" unbalanced="0"/>
    <cacheHierarchy uniqueName="[ppto_ingreso].[tasa_clp_usd]" caption="tasa_clp_usd" attribute="1" defaultMemberUniqueName="[ppto_ingreso].[tasa_clp_usd].[All]" allUniqueName="[ppto_ingreso].[tasa_clp_usd].[All]" dimensionUniqueName="[ppto_ingreso]" displayFolder="" count="0" memberValueDatatype="5" unbalanced="0"/>
    <cacheHierarchy uniqueName="[ppto_ingreso].[ingreso_clp]" caption="ingreso_clp" attribute="1" defaultMemberUniqueName="[ppto_ingreso].[ingreso_clp].[All]" allUniqueName="[ppto_ingreso].[ingreso_clp].[All]" dimensionUniqueName="[ppto_ingreso]" displayFolder="" count="0" memberValueDatatype="5" unbalanced="0"/>
    <cacheHierarchy uniqueName="[Measures].[__XL_Count ppto_ingreso]" caption="__XL_Count ppto_ingreso" measure="1" displayFolder="" measureGroup="ppto_ingreso" count="0" hidden="1"/>
    <cacheHierarchy uniqueName="[Measures].[__No measures defined]" caption="__No measures defined" measure="1" displayFolder="" count="0" hidden="1"/>
    <cacheHierarchy uniqueName="[Measures].[Suma de kgs_a_proc]" caption="Suma de kgs_a_proc" measure="1" displayFolder="" measureGroup="ppto_ingres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kg_export]" caption="Suma de kg_export" measure="1" displayFolder="" measureGroup="ppto_ingres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d_packing]" caption="Suma de usd_packing" measure="1" displayFolder="" measureGroup="ppto_ingres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usd_frio]" caption="Suma de usd_frio" measure="1" displayFolder="" measureGroup="ppto_ingres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usd_total]" caption="Suma de usd_total" measure="1" displayFolder="" measureGroup="ppto_ingreso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p_unit_packing]" caption="Suma de p_unit_packing" measure="1" displayFolder="" measureGroup="ppto_ingres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p_unit_frio]" caption="Suma de p_unit_frio" measure="1" displayFolder="" measureGroup="ppto_ingres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_unit_frio]" caption="Promedio de p_unit_frio" measure="1" displayFolder="" measureGroup="ppto_ingres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_unit_packing]" caption="Promedio de p_unit_packing" measure="1" displayFolder="" measureGroup="ppto_ingres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Unitario_Total]" caption="Suma de Unitario_Total" measure="1" displayFolder="" measureGroup="ppto_ingres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Promedio de Unitario_Total]" caption="Promedio de Unitario_Total" measure="1" displayFolder="" measureGroup="ppto_ingres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ppto_ingreso" uniqueName="[ppto_ingreso]" caption="ppto_ingreso"/>
  </dimensions>
  <measureGroups count="1">
    <measureGroup name="ppto_ingreso" caption="ppto_ingres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rgio Arenas" refreshedDate="46104.404886574077" backgroundQuery="1" createdVersion="8" refreshedVersion="8" minRefreshableVersion="3" recordCount="0" supportSubquery="1" supportAdvancedDrill="1" xr:uid="{959E8389-D74D-4219-B59E-5B2C19E62130}">
  <cacheSource type="external" connectionId="2"/>
  <cacheFields count="4">
    <cacheField name="[ppto_ingreso].[especie].[especie]" caption="especie" numFmtId="0" hierarchy="2" level="1">
      <sharedItems count="10">
        <s v="Ciruelas"/>
        <s v="Damasco"/>
        <s v="Durazno"/>
        <s v="Durazno Planos"/>
        <s v="Kiwi"/>
        <s v="Limon"/>
        <s v="Mandarina"/>
        <s v="Naranjas"/>
        <s v="Nectarin"/>
        <s v="Pera"/>
      </sharedItems>
    </cacheField>
    <cacheField name="[ppto_ingreso].[exportadora].[exportadora]" caption="exportadora" numFmtId="0" hierarchy="1" level="1">
      <sharedItems count="8">
        <s v="AGUA SANTA"/>
        <s v="TRIOFRUT"/>
        <s v="SOFRUCO"/>
        <s v="REINA SUR"/>
        <s v="EL PARQUE"/>
        <s v="IDAHUE"/>
        <s v="CHUCAO"/>
        <s v="TOTAL FRUIT"/>
      </sharedItems>
    </cacheField>
    <cacheField name="[ppto_ingreso].[mes].[mes]" caption="mes" numFmtId="0" hierarchy="8" level="1">
      <sharedItems containsSemiMixedTypes="0" containsString="0" containsNumber="1" containsInteger="1" minValue="1" maxValue="12" count="11">
        <n v="1"/>
        <n v="2"/>
        <n v="3"/>
        <n v="4"/>
        <n v="5"/>
        <n v="6"/>
        <n v="7"/>
        <n v="8"/>
        <n v="9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ppto_ingreso].[mes].&amp;[1]"/>
            <x15:cachedUniqueName index="1" name="[ppto_ingreso].[mes].&amp;[2]"/>
            <x15:cachedUniqueName index="2" name="[ppto_ingreso].[mes].&amp;[3]"/>
            <x15:cachedUniqueName index="3" name="[ppto_ingreso].[mes].&amp;[4]"/>
            <x15:cachedUniqueName index="4" name="[ppto_ingreso].[mes].&amp;[5]"/>
            <x15:cachedUniqueName index="5" name="[ppto_ingreso].[mes].&amp;[6]"/>
            <x15:cachedUniqueName index="6" name="[ppto_ingreso].[mes].&amp;[7]"/>
            <x15:cachedUniqueName index="7" name="[ppto_ingreso].[mes].&amp;[8]"/>
            <x15:cachedUniqueName index="8" name="[ppto_ingreso].[mes].&amp;[9]"/>
            <x15:cachedUniqueName index="9" name="[ppto_ingreso].[mes].&amp;[11]"/>
            <x15:cachedUniqueName index="10" name="[ppto_ingreso].[mes].&amp;[12]"/>
          </x15:cachedUniqueNames>
        </ext>
      </extLst>
    </cacheField>
    <cacheField name="[Measures].[Suma de usd_frio]" caption="Suma de usd_frio" numFmtId="0" hierarchy="26" level="32767"/>
  </cacheFields>
  <cacheHierarchies count="34">
    <cacheHierarchy uniqueName="[ppto_ingreso].[temporada]" caption="temporada" attribute="1" defaultMemberUniqueName="[ppto_ingreso].[temporada].[All]" allUniqueName="[ppto_ingreso].[temporada].[All]" dimensionUniqueName="[ppto_ingreso]" displayFolder="" count="0" memberValueDatatype="130" unbalanced="0"/>
    <cacheHierarchy uniqueName="[ppto_ingreso].[exportadora]" caption="exportadora" attribute="1" defaultMemberUniqueName="[ppto_ingreso].[exportadora].[All]" allUniqueName="[ppto_ingreso].[exportadora].[All]" dimensionUniqueName="[ppto_ingreso]" displayFolder="" count="2" memberValueDatatype="130" unbalanced="0">
      <fieldsUsage count="2">
        <fieldUsage x="-1"/>
        <fieldUsage x="1"/>
      </fieldsUsage>
    </cacheHierarchy>
    <cacheHierarchy uniqueName="[ppto_ingreso].[especie]" caption="especie" attribute="1" defaultMemberUniqueName="[ppto_ingreso].[especie].[All]" allUniqueName="[ppto_ingreso].[especie].[All]" dimensionUniqueName="[ppto_ingreso]" displayFolder="" count="2" memberValueDatatype="130" unbalanced="0">
      <fieldsUsage count="2">
        <fieldUsage x="-1"/>
        <fieldUsage x="0"/>
      </fieldsUsage>
    </cacheHierarchy>
    <cacheHierarchy uniqueName="[ppto_ingreso].[variedad]" caption="variedad" attribute="1" defaultMemberUniqueName="[ppto_ingreso].[variedad].[All]" allUniqueName="[ppto_ingreso].[variedad].[All]" dimensionUniqueName="[ppto_ingreso]" displayFolder="" count="0" memberValueDatatype="130" unbalanced="0"/>
    <cacheHierarchy uniqueName="[ppto_ingreso].[productor]" caption="productor" attribute="1" defaultMemberUniqueName="[ppto_ingreso].[productor].[All]" allUniqueName="[ppto_ingreso].[productor].[All]" dimensionUniqueName="[ppto_ingreso]" displayFolder="" count="0" memberValueDatatype="130" unbalanced="0"/>
    <cacheHierarchy uniqueName="[ppto_ingreso].[grupo]" caption="grupo" attribute="1" defaultMemberUniqueName="[ppto_ingreso].[grupo].[All]" allUniqueName="[ppto_ingreso].[grupo].[All]" dimensionUniqueName="[ppto_ingreso]" displayFolder="" count="0" memberValueDatatype="130" unbalanced="0"/>
    <cacheHierarchy uniqueName="[ppto_ingreso].[fecha]" caption="fecha" attribute="1" time="1" defaultMemberUniqueName="[ppto_ingreso].[fecha].[All]" allUniqueName="[ppto_ingreso].[fecha].[All]" dimensionUniqueName="[ppto_ingreso]" displayFolder="" count="0" memberValueDatatype="7" unbalanced="0"/>
    <cacheHierarchy uniqueName="[ppto_ingreso].[semana]" caption="semana" attribute="1" defaultMemberUniqueName="[ppto_ingreso].[semana].[All]" allUniqueName="[ppto_ingreso].[semana].[All]" dimensionUniqueName="[ppto_ingreso]" displayFolder="" count="0" memberValueDatatype="20" unbalanced="0"/>
    <cacheHierarchy uniqueName="[ppto_ingreso].[mes]" caption="mes" attribute="1" defaultMemberUniqueName="[ppto_ingreso].[mes].[All]" allUniqueName="[ppto_ingreso].[mes].[All]" dimensionUniqueName="[ppto_ingreso]" displayFolder="" count="2" memberValueDatatype="20" unbalanced="0">
      <fieldsUsage count="2">
        <fieldUsage x="-1"/>
        <fieldUsage x="2"/>
      </fieldsUsage>
    </cacheHierarchy>
    <cacheHierarchy uniqueName="[ppto_ingreso].[envase]" caption="envase" attribute="1" defaultMemberUniqueName="[ppto_ingreso].[envase].[All]" allUniqueName="[ppto_ingreso].[envase].[All]" dimensionUniqueName="[ppto_ingreso]" displayFolder="" count="0" memberValueDatatype="130" unbalanced="0"/>
    <cacheHierarchy uniqueName="[ppto_ingreso].[kgs_a_proc]" caption="kgs_a_proc" attribute="1" defaultMemberUniqueName="[ppto_ingreso].[kgs_a_proc].[All]" allUniqueName="[ppto_ingreso].[kgs_a_proc].[All]" dimensionUniqueName="[ppto_ingreso]" displayFolder="" count="0" memberValueDatatype="5" unbalanced="0"/>
    <cacheHierarchy uniqueName="[ppto_ingreso].[pct_export]" caption="pct_export" attribute="1" defaultMemberUniqueName="[ppto_ingreso].[pct_export].[All]" allUniqueName="[ppto_ingreso].[pct_export].[All]" dimensionUniqueName="[ppto_ingreso]" displayFolder="" count="0" memberValueDatatype="5" unbalanced="0"/>
    <cacheHierarchy uniqueName="[ppto_ingreso].[kg_export]" caption="kg_export" attribute="1" defaultMemberUniqueName="[ppto_ingreso].[kg_export].[All]" allUniqueName="[ppto_ingreso].[kg_export].[All]" dimensionUniqueName="[ppto_ingreso]" displayFolder="" count="0" memberValueDatatype="5" unbalanced="0"/>
    <cacheHierarchy uniqueName="[ppto_ingreso].[p_unit_packing]" caption="p_unit_packing" attribute="1" defaultMemberUniqueName="[ppto_ingreso].[p_unit_packing].[All]" allUniqueName="[ppto_ingreso].[p_unit_packing].[All]" dimensionUniqueName="[ppto_ingreso]" displayFolder="" count="0" memberValueDatatype="5" unbalanced="0"/>
    <cacheHierarchy uniqueName="[ppto_ingreso].[p_unit_frio]" caption="p_unit_frio" attribute="1" defaultMemberUniqueName="[ppto_ingreso].[p_unit_frio].[All]" allUniqueName="[ppto_ingreso].[p_unit_frio].[All]" dimensionUniqueName="[ppto_ingreso]" displayFolder="" count="0" memberValueDatatype="5" unbalanced="0"/>
    <cacheHierarchy uniqueName="[ppto_ingreso].[Unitario_Total]" caption="Unitario_Total" attribute="1" defaultMemberUniqueName="[ppto_ingreso].[Unitario_Total].[All]" allUniqueName="[ppto_ingreso].[Unitario_Total].[All]" dimensionUniqueName="[ppto_ingreso]" displayFolder="" count="0" memberValueDatatype="5" unbalanced="0"/>
    <cacheHierarchy uniqueName="[ppto_ingreso].[usd_packing]" caption="usd_packing" attribute="1" defaultMemberUniqueName="[ppto_ingreso].[usd_packing].[All]" allUniqueName="[ppto_ingreso].[usd_packing].[All]" dimensionUniqueName="[ppto_ingreso]" displayFolder="" count="0" memberValueDatatype="5" unbalanced="0"/>
    <cacheHierarchy uniqueName="[ppto_ingreso].[usd_frio]" caption="usd_frio" attribute="1" defaultMemberUniqueName="[ppto_ingreso].[usd_frio].[All]" allUniqueName="[ppto_ingreso].[usd_frio].[All]" dimensionUniqueName="[ppto_ingreso]" displayFolder="" count="0" memberValueDatatype="5" unbalanced="0"/>
    <cacheHierarchy uniqueName="[ppto_ingreso].[usd_total]" caption="usd_total" attribute="1" defaultMemberUniqueName="[ppto_ingreso].[usd_total].[All]" allUniqueName="[ppto_ingreso].[usd_total].[All]" dimensionUniqueName="[ppto_ingreso]" displayFolder="" count="0" memberValueDatatype="5" unbalanced="0"/>
    <cacheHierarchy uniqueName="[ppto_ingreso].[tasa_clp_usd]" caption="tasa_clp_usd" attribute="1" defaultMemberUniqueName="[ppto_ingreso].[tasa_clp_usd].[All]" allUniqueName="[ppto_ingreso].[tasa_clp_usd].[All]" dimensionUniqueName="[ppto_ingreso]" displayFolder="" count="0" memberValueDatatype="5" unbalanced="0"/>
    <cacheHierarchy uniqueName="[ppto_ingreso].[ingreso_clp]" caption="ingreso_clp" attribute="1" defaultMemberUniqueName="[ppto_ingreso].[ingreso_clp].[All]" allUniqueName="[ppto_ingreso].[ingreso_clp].[All]" dimensionUniqueName="[ppto_ingreso]" displayFolder="" count="0" memberValueDatatype="5" unbalanced="0"/>
    <cacheHierarchy uniqueName="[Measures].[__XL_Count ppto_ingreso]" caption="__XL_Count ppto_ingreso" measure="1" displayFolder="" measureGroup="ppto_ingreso" count="0" hidden="1"/>
    <cacheHierarchy uniqueName="[Measures].[__No measures defined]" caption="__No measures defined" measure="1" displayFolder="" count="0" hidden="1"/>
    <cacheHierarchy uniqueName="[Measures].[Suma de kgs_a_proc]" caption="Suma de kgs_a_proc" measure="1" displayFolder="" measureGroup="ppto_ingres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kg_export]" caption="Suma de kg_export" measure="1" displayFolder="" measureGroup="ppto_ingres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d_packing]" caption="Suma de usd_packing" measure="1" displayFolder="" measureGroup="ppto_ingres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usd_frio]" caption="Suma de usd_frio" measure="1" displayFolder="" measureGroup="ppto_ingres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usd_total]" caption="Suma de usd_total" measure="1" displayFolder="" measureGroup="ppto_ingreso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p_unit_packing]" caption="Suma de p_unit_packing" measure="1" displayFolder="" measureGroup="ppto_ingres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p_unit_frio]" caption="Suma de p_unit_frio" measure="1" displayFolder="" measureGroup="ppto_ingres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_unit_frio]" caption="Promedio de p_unit_frio" measure="1" displayFolder="" measureGroup="ppto_ingres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_unit_packing]" caption="Promedio de p_unit_packing" measure="1" displayFolder="" measureGroup="ppto_ingres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Unitario_Total]" caption="Suma de Unitario_Total" measure="1" displayFolder="" measureGroup="ppto_ingres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Promedio de Unitario_Total]" caption="Promedio de Unitario_Total" measure="1" displayFolder="" measureGroup="ppto_ingres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ppto_ingreso" uniqueName="[ppto_ingreso]" caption="ppto_ingreso"/>
  </dimensions>
  <measureGroups count="1">
    <measureGroup name="ppto_ingreso" caption="ppto_ingres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rgio Arenas" refreshedDate="46104.404880324073" backgroundQuery="1" createdVersion="8" refreshedVersion="8" minRefreshableVersion="3" recordCount="0" supportSubquery="1" supportAdvancedDrill="1" xr:uid="{269E3F13-6F6C-4D73-AA71-AAEDC1C4848C}">
  <cacheSource type="external" connectionId="2"/>
  <cacheFields count="4">
    <cacheField name="[ppto_ingreso].[especie].[especie]" caption="especie" numFmtId="0" hierarchy="2" level="1">
      <sharedItems count="10">
        <s v="Ciruelas"/>
        <s v="Damasco"/>
        <s v="Durazno"/>
        <s v="Durazno Planos"/>
        <s v="Kiwi"/>
        <s v="Limon"/>
        <s v="Mandarina"/>
        <s v="Naranjas"/>
        <s v="Nectarin"/>
        <s v="Pera"/>
      </sharedItems>
    </cacheField>
    <cacheField name="[ppto_ingreso].[exportadora].[exportadora]" caption="exportadora" numFmtId="0" hierarchy="1" level="1">
      <sharedItems count="8">
        <s v="AGUA SANTA"/>
        <s v="TRIOFRUT"/>
        <s v="SOFRUCO"/>
        <s v="REINA SUR"/>
        <s v="EL PARQUE"/>
        <s v="IDAHUE"/>
        <s v="CHUCAO"/>
        <s v="TOTAL FRUIT"/>
      </sharedItems>
    </cacheField>
    <cacheField name="[ppto_ingreso].[mes].[mes]" caption="mes" numFmtId="0" hierarchy="8" level="1">
      <sharedItems containsSemiMixedTypes="0" containsString="0" containsNumber="1" containsInteger="1" minValue="1" maxValue="12" count="11">
        <n v="1"/>
        <n v="2"/>
        <n v="3"/>
        <n v="4"/>
        <n v="5"/>
        <n v="6"/>
        <n v="7"/>
        <n v="8"/>
        <n v="9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ppto_ingreso].[mes].&amp;[1]"/>
            <x15:cachedUniqueName index="1" name="[ppto_ingreso].[mes].&amp;[2]"/>
            <x15:cachedUniqueName index="2" name="[ppto_ingreso].[mes].&amp;[3]"/>
            <x15:cachedUniqueName index="3" name="[ppto_ingreso].[mes].&amp;[4]"/>
            <x15:cachedUniqueName index="4" name="[ppto_ingreso].[mes].&amp;[5]"/>
            <x15:cachedUniqueName index="5" name="[ppto_ingreso].[mes].&amp;[6]"/>
            <x15:cachedUniqueName index="6" name="[ppto_ingreso].[mes].&amp;[7]"/>
            <x15:cachedUniqueName index="7" name="[ppto_ingreso].[mes].&amp;[8]"/>
            <x15:cachedUniqueName index="8" name="[ppto_ingreso].[mes].&amp;[9]"/>
            <x15:cachedUniqueName index="9" name="[ppto_ingreso].[mes].&amp;[11]"/>
            <x15:cachedUniqueName index="10" name="[ppto_ingreso].[mes].&amp;[12]"/>
          </x15:cachedUniqueNames>
        </ext>
      </extLst>
    </cacheField>
    <cacheField name="[Measures].[Suma de usd_frio]" caption="Suma de usd_frio" numFmtId="0" hierarchy="26" level="32767"/>
  </cacheFields>
  <cacheHierarchies count="34">
    <cacheHierarchy uniqueName="[ppto_ingreso].[temporada]" caption="temporada" attribute="1" defaultMemberUniqueName="[ppto_ingreso].[temporada].[All]" allUniqueName="[ppto_ingreso].[temporada].[All]" dimensionUniqueName="[ppto_ingreso]" displayFolder="" count="0" memberValueDatatype="130" unbalanced="0"/>
    <cacheHierarchy uniqueName="[ppto_ingreso].[exportadora]" caption="exportadora" attribute="1" defaultMemberUniqueName="[ppto_ingreso].[exportadora].[All]" allUniqueName="[ppto_ingreso].[exportadora].[All]" dimensionUniqueName="[ppto_ingreso]" displayFolder="" count="2" memberValueDatatype="130" unbalanced="0">
      <fieldsUsage count="2">
        <fieldUsage x="-1"/>
        <fieldUsage x="1"/>
      </fieldsUsage>
    </cacheHierarchy>
    <cacheHierarchy uniqueName="[ppto_ingreso].[especie]" caption="especie" attribute="1" defaultMemberUniqueName="[ppto_ingreso].[especie].[All]" allUniqueName="[ppto_ingreso].[especie].[All]" dimensionUniqueName="[ppto_ingreso]" displayFolder="" count="2" memberValueDatatype="130" unbalanced="0">
      <fieldsUsage count="2">
        <fieldUsage x="-1"/>
        <fieldUsage x="0"/>
      </fieldsUsage>
    </cacheHierarchy>
    <cacheHierarchy uniqueName="[ppto_ingreso].[variedad]" caption="variedad" attribute="1" defaultMemberUniqueName="[ppto_ingreso].[variedad].[All]" allUniqueName="[ppto_ingreso].[variedad].[All]" dimensionUniqueName="[ppto_ingreso]" displayFolder="" count="0" memberValueDatatype="130" unbalanced="0"/>
    <cacheHierarchy uniqueName="[ppto_ingreso].[productor]" caption="productor" attribute="1" defaultMemberUniqueName="[ppto_ingreso].[productor].[All]" allUniqueName="[ppto_ingreso].[productor].[All]" dimensionUniqueName="[ppto_ingreso]" displayFolder="" count="0" memberValueDatatype="130" unbalanced="0"/>
    <cacheHierarchy uniqueName="[ppto_ingreso].[grupo]" caption="grupo" attribute="1" defaultMemberUniqueName="[ppto_ingreso].[grupo].[All]" allUniqueName="[ppto_ingreso].[grupo].[All]" dimensionUniqueName="[ppto_ingreso]" displayFolder="" count="0" memberValueDatatype="130" unbalanced="0"/>
    <cacheHierarchy uniqueName="[ppto_ingreso].[fecha]" caption="fecha" attribute="1" time="1" defaultMemberUniqueName="[ppto_ingreso].[fecha].[All]" allUniqueName="[ppto_ingreso].[fecha].[All]" dimensionUniqueName="[ppto_ingreso]" displayFolder="" count="0" memberValueDatatype="7" unbalanced="0"/>
    <cacheHierarchy uniqueName="[ppto_ingreso].[semana]" caption="semana" attribute="1" defaultMemberUniqueName="[ppto_ingreso].[semana].[All]" allUniqueName="[ppto_ingreso].[semana].[All]" dimensionUniqueName="[ppto_ingreso]" displayFolder="" count="0" memberValueDatatype="20" unbalanced="0"/>
    <cacheHierarchy uniqueName="[ppto_ingreso].[mes]" caption="mes" attribute="1" defaultMemberUniqueName="[ppto_ingreso].[mes].[All]" allUniqueName="[ppto_ingreso].[mes].[All]" dimensionUniqueName="[ppto_ingreso]" displayFolder="" count="2" memberValueDatatype="20" unbalanced="0">
      <fieldsUsage count="2">
        <fieldUsage x="-1"/>
        <fieldUsage x="2"/>
      </fieldsUsage>
    </cacheHierarchy>
    <cacheHierarchy uniqueName="[ppto_ingreso].[envase]" caption="envase" attribute="1" defaultMemberUniqueName="[ppto_ingreso].[envase].[All]" allUniqueName="[ppto_ingreso].[envase].[All]" dimensionUniqueName="[ppto_ingreso]" displayFolder="" count="0" memberValueDatatype="130" unbalanced="0"/>
    <cacheHierarchy uniqueName="[ppto_ingreso].[kgs_a_proc]" caption="kgs_a_proc" attribute="1" defaultMemberUniqueName="[ppto_ingreso].[kgs_a_proc].[All]" allUniqueName="[ppto_ingreso].[kgs_a_proc].[All]" dimensionUniqueName="[ppto_ingreso]" displayFolder="" count="0" memberValueDatatype="5" unbalanced="0"/>
    <cacheHierarchy uniqueName="[ppto_ingreso].[pct_export]" caption="pct_export" attribute="1" defaultMemberUniqueName="[ppto_ingreso].[pct_export].[All]" allUniqueName="[ppto_ingreso].[pct_export].[All]" dimensionUniqueName="[ppto_ingreso]" displayFolder="" count="0" memberValueDatatype="5" unbalanced="0"/>
    <cacheHierarchy uniqueName="[ppto_ingreso].[kg_export]" caption="kg_export" attribute="1" defaultMemberUniqueName="[ppto_ingreso].[kg_export].[All]" allUniqueName="[ppto_ingreso].[kg_export].[All]" dimensionUniqueName="[ppto_ingreso]" displayFolder="" count="0" memberValueDatatype="5" unbalanced="0"/>
    <cacheHierarchy uniqueName="[ppto_ingreso].[p_unit_packing]" caption="p_unit_packing" attribute="1" defaultMemberUniqueName="[ppto_ingreso].[p_unit_packing].[All]" allUniqueName="[ppto_ingreso].[p_unit_packing].[All]" dimensionUniqueName="[ppto_ingreso]" displayFolder="" count="0" memberValueDatatype="5" unbalanced="0"/>
    <cacheHierarchy uniqueName="[ppto_ingreso].[p_unit_frio]" caption="p_unit_frio" attribute="1" defaultMemberUniqueName="[ppto_ingreso].[p_unit_frio].[All]" allUniqueName="[ppto_ingreso].[p_unit_frio].[All]" dimensionUniqueName="[ppto_ingreso]" displayFolder="" count="0" memberValueDatatype="5" unbalanced="0"/>
    <cacheHierarchy uniqueName="[ppto_ingreso].[Unitario_Total]" caption="Unitario_Total" attribute="1" defaultMemberUniqueName="[ppto_ingreso].[Unitario_Total].[All]" allUniqueName="[ppto_ingreso].[Unitario_Total].[All]" dimensionUniqueName="[ppto_ingreso]" displayFolder="" count="0" memberValueDatatype="5" unbalanced="0"/>
    <cacheHierarchy uniqueName="[ppto_ingreso].[usd_packing]" caption="usd_packing" attribute="1" defaultMemberUniqueName="[ppto_ingreso].[usd_packing].[All]" allUniqueName="[ppto_ingreso].[usd_packing].[All]" dimensionUniqueName="[ppto_ingreso]" displayFolder="" count="0" memberValueDatatype="5" unbalanced="0"/>
    <cacheHierarchy uniqueName="[ppto_ingreso].[usd_frio]" caption="usd_frio" attribute="1" defaultMemberUniqueName="[ppto_ingreso].[usd_frio].[All]" allUniqueName="[ppto_ingreso].[usd_frio].[All]" dimensionUniqueName="[ppto_ingreso]" displayFolder="" count="0" memberValueDatatype="5" unbalanced="0"/>
    <cacheHierarchy uniqueName="[ppto_ingreso].[usd_total]" caption="usd_total" attribute="1" defaultMemberUniqueName="[ppto_ingreso].[usd_total].[All]" allUniqueName="[ppto_ingreso].[usd_total].[All]" dimensionUniqueName="[ppto_ingreso]" displayFolder="" count="0" memberValueDatatype="5" unbalanced="0"/>
    <cacheHierarchy uniqueName="[ppto_ingreso].[tasa_clp_usd]" caption="tasa_clp_usd" attribute="1" defaultMemberUniqueName="[ppto_ingreso].[tasa_clp_usd].[All]" allUniqueName="[ppto_ingreso].[tasa_clp_usd].[All]" dimensionUniqueName="[ppto_ingreso]" displayFolder="" count="0" memberValueDatatype="5" unbalanced="0"/>
    <cacheHierarchy uniqueName="[ppto_ingreso].[ingreso_clp]" caption="ingreso_clp" attribute="1" defaultMemberUniqueName="[ppto_ingreso].[ingreso_clp].[All]" allUniqueName="[ppto_ingreso].[ingreso_clp].[All]" dimensionUniqueName="[ppto_ingreso]" displayFolder="" count="0" memberValueDatatype="5" unbalanced="0"/>
    <cacheHierarchy uniqueName="[Measures].[__XL_Count ppto_ingreso]" caption="__XL_Count ppto_ingreso" measure="1" displayFolder="" measureGroup="ppto_ingreso" count="0" hidden="1"/>
    <cacheHierarchy uniqueName="[Measures].[__No measures defined]" caption="__No measures defined" measure="1" displayFolder="" count="0" hidden="1"/>
    <cacheHierarchy uniqueName="[Measures].[Suma de kgs_a_proc]" caption="Suma de kgs_a_proc" measure="1" displayFolder="" measureGroup="ppto_ingres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kg_export]" caption="Suma de kg_export" measure="1" displayFolder="" measureGroup="ppto_ingres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d_packing]" caption="Suma de usd_packing" measure="1" displayFolder="" measureGroup="ppto_ingres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usd_frio]" caption="Suma de usd_frio" measure="1" displayFolder="" measureGroup="ppto_ingres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usd_total]" caption="Suma de usd_total" measure="1" displayFolder="" measureGroup="ppto_ingreso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p_unit_packing]" caption="Suma de p_unit_packing" measure="1" displayFolder="" measureGroup="ppto_ingres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p_unit_frio]" caption="Suma de p_unit_frio" measure="1" displayFolder="" measureGroup="ppto_ingres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_unit_frio]" caption="Promedio de p_unit_frio" measure="1" displayFolder="" measureGroup="ppto_ingres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_unit_packing]" caption="Promedio de p_unit_packing" measure="1" displayFolder="" measureGroup="ppto_ingres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Unitario_Total]" caption="Suma de Unitario_Total" measure="1" displayFolder="" measureGroup="ppto_ingres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Promedio de Unitario_Total]" caption="Promedio de Unitario_Total" measure="1" displayFolder="" measureGroup="ppto_ingres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ppto_ingreso" uniqueName="[ppto_ingreso]" caption="ppto_ingreso"/>
  </dimensions>
  <measureGroups count="1">
    <measureGroup name="ppto_ingreso" caption="ppto_ingres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rgio Arenas" refreshedDate="46104.404882060182" backgroundQuery="1" createdVersion="8" refreshedVersion="8" minRefreshableVersion="3" recordCount="0" supportSubquery="1" supportAdvancedDrill="1" xr:uid="{22626C5B-E697-4902-BF28-0AFFDD8AB473}">
  <cacheSource type="external" connectionId="2"/>
  <cacheFields count="4">
    <cacheField name="[ppto_ingreso].[especie].[especie]" caption="especie" numFmtId="0" hierarchy="2" level="1">
      <sharedItems count="10">
        <s v="Ciruelas"/>
        <s v="Damasco"/>
        <s v="Durazno"/>
        <s v="Durazno Planos"/>
        <s v="Kiwi"/>
        <s v="Limon"/>
        <s v="Mandarina"/>
        <s v="Naranjas"/>
        <s v="Nectarin"/>
        <s v="Pera"/>
      </sharedItems>
    </cacheField>
    <cacheField name="[ppto_ingreso].[exportadora].[exportadora]" caption="exportadora" numFmtId="0" hierarchy="1" level="1">
      <sharedItems count="8">
        <s v="AGUA SANTA"/>
        <s v="TRIOFRUT"/>
        <s v="SOFRUCO"/>
        <s v="REINA SUR"/>
        <s v="EL PARQUE"/>
        <s v="IDAHUE"/>
        <s v="CHUCAO"/>
        <s v="TOTAL FRUIT"/>
      </sharedItems>
    </cacheField>
    <cacheField name="[ppto_ingreso].[mes].[mes]" caption="mes" numFmtId="0" hierarchy="8" level="1">
      <sharedItems containsSemiMixedTypes="0" containsString="0" containsNumber="1" containsInteger="1" minValue="1" maxValue="12" count="11">
        <n v="1"/>
        <n v="2"/>
        <n v="3"/>
        <n v="4"/>
        <n v="5"/>
        <n v="6"/>
        <n v="7"/>
        <n v="8"/>
        <n v="9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ppto_ingreso].[mes].&amp;[1]"/>
            <x15:cachedUniqueName index="1" name="[ppto_ingreso].[mes].&amp;[2]"/>
            <x15:cachedUniqueName index="2" name="[ppto_ingreso].[mes].&amp;[3]"/>
            <x15:cachedUniqueName index="3" name="[ppto_ingreso].[mes].&amp;[4]"/>
            <x15:cachedUniqueName index="4" name="[ppto_ingreso].[mes].&amp;[5]"/>
            <x15:cachedUniqueName index="5" name="[ppto_ingreso].[mes].&amp;[6]"/>
            <x15:cachedUniqueName index="6" name="[ppto_ingreso].[mes].&amp;[7]"/>
            <x15:cachedUniqueName index="7" name="[ppto_ingreso].[mes].&amp;[8]"/>
            <x15:cachedUniqueName index="8" name="[ppto_ingreso].[mes].&amp;[9]"/>
            <x15:cachedUniqueName index="9" name="[ppto_ingreso].[mes].&amp;[11]"/>
            <x15:cachedUniqueName index="10" name="[ppto_ingreso].[mes].&amp;[12]"/>
          </x15:cachedUniqueNames>
        </ext>
      </extLst>
    </cacheField>
    <cacheField name="[Measures].[Suma de usd_packing]" caption="Suma de usd_packing" numFmtId="0" hierarchy="25" level="32767"/>
  </cacheFields>
  <cacheHierarchies count="34">
    <cacheHierarchy uniqueName="[ppto_ingreso].[temporada]" caption="temporada" attribute="1" defaultMemberUniqueName="[ppto_ingreso].[temporada].[All]" allUniqueName="[ppto_ingreso].[temporada].[All]" dimensionUniqueName="[ppto_ingreso]" displayFolder="" count="0" memberValueDatatype="130" unbalanced="0"/>
    <cacheHierarchy uniqueName="[ppto_ingreso].[exportadora]" caption="exportadora" attribute="1" defaultMemberUniqueName="[ppto_ingreso].[exportadora].[All]" allUniqueName="[ppto_ingreso].[exportadora].[All]" dimensionUniqueName="[ppto_ingreso]" displayFolder="" count="2" memberValueDatatype="130" unbalanced="0">
      <fieldsUsage count="2">
        <fieldUsage x="-1"/>
        <fieldUsage x="1"/>
      </fieldsUsage>
    </cacheHierarchy>
    <cacheHierarchy uniqueName="[ppto_ingreso].[especie]" caption="especie" attribute="1" defaultMemberUniqueName="[ppto_ingreso].[especie].[All]" allUniqueName="[ppto_ingreso].[especie].[All]" dimensionUniqueName="[ppto_ingreso]" displayFolder="" count="2" memberValueDatatype="130" unbalanced="0">
      <fieldsUsage count="2">
        <fieldUsage x="-1"/>
        <fieldUsage x="0"/>
      </fieldsUsage>
    </cacheHierarchy>
    <cacheHierarchy uniqueName="[ppto_ingreso].[variedad]" caption="variedad" attribute="1" defaultMemberUniqueName="[ppto_ingreso].[variedad].[All]" allUniqueName="[ppto_ingreso].[variedad].[All]" dimensionUniqueName="[ppto_ingreso]" displayFolder="" count="0" memberValueDatatype="130" unbalanced="0"/>
    <cacheHierarchy uniqueName="[ppto_ingreso].[productor]" caption="productor" attribute="1" defaultMemberUniqueName="[ppto_ingreso].[productor].[All]" allUniqueName="[ppto_ingreso].[productor].[All]" dimensionUniqueName="[ppto_ingreso]" displayFolder="" count="0" memberValueDatatype="130" unbalanced="0"/>
    <cacheHierarchy uniqueName="[ppto_ingreso].[grupo]" caption="grupo" attribute="1" defaultMemberUniqueName="[ppto_ingreso].[grupo].[All]" allUniqueName="[ppto_ingreso].[grupo].[All]" dimensionUniqueName="[ppto_ingreso]" displayFolder="" count="0" memberValueDatatype="130" unbalanced="0"/>
    <cacheHierarchy uniqueName="[ppto_ingreso].[fecha]" caption="fecha" attribute="1" time="1" defaultMemberUniqueName="[ppto_ingreso].[fecha].[All]" allUniqueName="[ppto_ingreso].[fecha].[All]" dimensionUniqueName="[ppto_ingreso]" displayFolder="" count="0" memberValueDatatype="7" unbalanced="0"/>
    <cacheHierarchy uniqueName="[ppto_ingreso].[semana]" caption="semana" attribute="1" defaultMemberUniqueName="[ppto_ingreso].[semana].[All]" allUniqueName="[ppto_ingreso].[semana].[All]" dimensionUniqueName="[ppto_ingreso]" displayFolder="" count="0" memberValueDatatype="20" unbalanced="0"/>
    <cacheHierarchy uniqueName="[ppto_ingreso].[mes]" caption="mes" attribute="1" defaultMemberUniqueName="[ppto_ingreso].[mes].[All]" allUniqueName="[ppto_ingreso].[mes].[All]" dimensionUniqueName="[ppto_ingreso]" displayFolder="" count="2" memberValueDatatype="20" unbalanced="0">
      <fieldsUsage count="2">
        <fieldUsage x="-1"/>
        <fieldUsage x="2"/>
      </fieldsUsage>
    </cacheHierarchy>
    <cacheHierarchy uniqueName="[ppto_ingreso].[envase]" caption="envase" attribute="1" defaultMemberUniqueName="[ppto_ingreso].[envase].[All]" allUniqueName="[ppto_ingreso].[envase].[All]" dimensionUniqueName="[ppto_ingreso]" displayFolder="" count="0" memberValueDatatype="130" unbalanced="0"/>
    <cacheHierarchy uniqueName="[ppto_ingreso].[kgs_a_proc]" caption="kgs_a_proc" attribute="1" defaultMemberUniqueName="[ppto_ingreso].[kgs_a_proc].[All]" allUniqueName="[ppto_ingreso].[kgs_a_proc].[All]" dimensionUniqueName="[ppto_ingreso]" displayFolder="" count="0" memberValueDatatype="5" unbalanced="0"/>
    <cacheHierarchy uniqueName="[ppto_ingreso].[pct_export]" caption="pct_export" attribute="1" defaultMemberUniqueName="[ppto_ingreso].[pct_export].[All]" allUniqueName="[ppto_ingreso].[pct_export].[All]" dimensionUniqueName="[ppto_ingreso]" displayFolder="" count="0" memberValueDatatype="5" unbalanced="0"/>
    <cacheHierarchy uniqueName="[ppto_ingreso].[kg_export]" caption="kg_export" attribute="1" defaultMemberUniqueName="[ppto_ingreso].[kg_export].[All]" allUniqueName="[ppto_ingreso].[kg_export].[All]" dimensionUniqueName="[ppto_ingreso]" displayFolder="" count="0" memberValueDatatype="5" unbalanced="0"/>
    <cacheHierarchy uniqueName="[ppto_ingreso].[p_unit_packing]" caption="p_unit_packing" attribute="1" defaultMemberUniqueName="[ppto_ingreso].[p_unit_packing].[All]" allUniqueName="[ppto_ingreso].[p_unit_packing].[All]" dimensionUniqueName="[ppto_ingreso]" displayFolder="" count="0" memberValueDatatype="5" unbalanced="0"/>
    <cacheHierarchy uniqueName="[ppto_ingreso].[p_unit_frio]" caption="p_unit_frio" attribute="1" defaultMemberUniqueName="[ppto_ingreso].[p_unit_frio].[All]" allUniqueName="[ppto_ingreso].[p_unit_frio].[All]" dimensionUniqueName="[ppto_ingreso]" displayFolder="" count="0" memberValueDatatype="5" unbalanced="0"/>
    <cacheHierarchy uniqueName="[ppto_ingreso].[Unitario_Total]" caption="Unitario_Total" attribute="1" defaultMemberUniqueName="[ppto_ingreso].[Unitario_Total].[All]" allUniqueName="[ppto_ingreso].[Unitario_Total].[All]" dimensionUniqueName="[ppto_ingreso]" displayFolder="" count="0" memberValueDatatype="5" unbalanced="0"/>
    <cacheHierarchy uniqueName="[ppto_ingreso].[usd_packing]" caption="usd_packing" attribute="1" defaultMemberUniqueName="[ppto_ingreso].[usd_packing].[All]" allUniqueName="[ppto_ingreso].[usd_packing].[All]" dimensionUniqueName="[ppto_ingreso]" displayFolder="" count="0" memberValueDatatype="5" unbalanced="0"/>
    <cacheHierarchy uniqueName="[ppto_ingreso].[usd_frio]" caption="usd_frio" attribute="1" defaultMemberUniqueName="[ppto_ingreso].[usd_frio].[All]" allUniqueName="[ppto_ingreso].[usd_frio].[All]" dimensionUniqueName="[ppto_ingreso]" displayFolder="" count="0" memberValueDatatype="5" unbalanced="0"/>
    <cacheHierarchy uniqueName="[ppto_ingreso].[usd_total]" caption="usd_total" attribute="1" defaultMemberUniqueName="[ppto_ingreso].[usd_total].[All]" allUniqueName="[ppto_ingreso].[usd_total].[All]" dimensionUniqueName="[ppto_ingreso]" displayFolder="" count="0" memberValueDatatype="5" unbalanced="0"/>
    <cacheHierarchy uniqueName="[ppto_ingreso].[tasa_clp_usd]" caption="tasa_clp_usd" attribute="1" defaultMemberUniqueName="[ppto_ingreso].[tasa_clp_usd].[All]" allUniqueName="[ppto_ingreso].[tasa_clp_usd].[All]" dimensionUniqueName="[ppto_ingreso]" displayFolder="" count="0" memberValueDatatype="5" unbalanced="0"/>
    <cacheHierarchy uniqueName="[ppto_ingreso].[ingreso_clp]" caption="ingreso_clp" attribute="1" defaultMemberUniqueName="[ppto_ingreso].[ingreso_clp].[All]" allUniqueName="[ppto_ingreso].[ingreso_clp].[All]" dimensionUniqueName="[ppto_ingreso]" displayFolder="" count="0" memberValueDatatype="5" unbalanced="0"/>
    <cacheHierarchy uniqueName="[Measures].[__XL_Count ppto_ingreso]" caption="__XL_Count ppto_ingreso" measure="1" displayFolder="" measureGroup="ppto_ingreso" count="0" hidden="1"/>
    <cacheHierarchy uniqueName="[Measures].[__No measures defined]" caption="__No measures defined" measure="1" displayFolder="" count="0" hidden="1"/>
    <cacheHierarchy uniqueName="[Measures].[Suma de kgs_a_proc]" caption="Suma de kgs_a_proc" measure="1" displayFolder="" measureGroup="ppto_ingres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kg_export]" caption="Suma de kg_export" measure="1" displayFolder="" measureGroup="ppto_ingres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d_packing]" caption="Suma de usd_packing" measure="1" displayFolder="" measureGroup="ppto_ingres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usd_frio]" caption="Suma de usd_frio" measure="1" displayFolder="" measureGroup="ppto_ingres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usd_total]" caption="Suma de usd_total" measure="1" displayFolder="" measureGroup="ppto_ingreso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p_unit_packing]" caption="Suma de p_unit_packing" measure="1" displayFolder="" measureGroup="ppto_ingres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p_unit_frio]" caption="Suma de p_unit_frio" measure="1" displayFolder="" measureGroup="ppto_ingres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_unit_frio]" caption="Promedio de p_unit_frio" measure="1" displayFolder="" measureGroup="ppto_ingres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_unit_packing]" caption="Promedio de p_unit_packing" measure="1" displayFolder="" measureGroup="ppto_ingres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Unitario_Total]" caption="Suma de Unitario_Total" measure="1" displayFolder="" measureGroup="ppto_ingres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Promedio de Unitario_Total]" caption="Promedio de Unitario_Total" measure="1" displayFolder="" measureGroup="ppto_ingres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ppto_ingreso" uniqueName="[ppto_ingreso]" caption="ppto_ingreso"/>
  </dimensions>
  <measureGroups count="1">
    <measureGroup name="ppto_ingreso" caption="ppto_ingres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rgio Arenas" refreshedDate="46104.404883449075" backgroundQuery="1" createdVersion="8" refreshedVersion="8" minRefreshableVersion="3" recordCount="0" supportSubquery="1" supportAdvancedDrill="1" xr:uid="{1F2C3FEA-92BC-4F7D-A62E-524A93385359}">
  <cacheSource type="external" connectionId="2"/>
  <cacheFields count="4">
    <cacheField name="[ppto_ingreso].[especie].[especie]" caption="especie" numFmtId="0" hierarchy="2" level="1">
      <sharedItems count="10">
        <s v="Ciruelas"/>
        <s v="Damasco"/>
        <s v="Durazno"/>
        <s v="Durazno Planos"/>
        <s v="Kiwi"/>
        <s v="Limon"/>
        <s v="Mandarina"/>
        <s v="Naranjas"/>
        <s v="Nectarin"/>
        <s v="Pera"/>
      </sharedItems>
    </cacheField>
    <cacheField name="[ppto_ingreso].[exportadora].[exportadora]" caption="exportadora" numFmtId="0" hierarchy="1" level="1">
      <sharedItems count="8">
        <s v="AGUA SANTA"/>
        <s v="TRIOFRUT"/>
        <s v="SOFRUCO"/>
        <s v="REINA SUR"/>
        <s v="EL PARQUE"/>
        <s v="IDAHUE"/>
        <s v="CHUCAO"/>
        <s v="TOTAL FRUIT"/>
      </sharedItems>
    </cacheField>
    <cacheField name="[ppto_ingreso].[mes].[mes]" caption="mes" numFmtId="0" hierarchy="8" level="1">
      <sharedItems containsSemiMixedTypes="0" containsString="0" containsNumber="1" containsInteger="1" minValue="1" maxValue="12" count="11">
        <n v="1"/>
        <n v="2"/>
        <n v="3"/>
        <n v="4"/>
        <n v="5"/>
        <n v="6"/>
        <n v="7"/>
        <n v="8"/>
        <n v="9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ppto_ingreso].[mes].&amp;[1]"/>
            <x15:cachedUniqueName index="1" name="[ppto_ingreso].[mes].&amp;[2]"/>
            <x15:cachedUniqueName index="2" name="[ppto_ingreso].[mes].&amp;[3]"/>
            <x15:cachedUniqueName index="3" name="[ppto_ingreso].[mes].&amp;[4]"/>
            <x15:cachedUniqueName index="4" name="[ppto_ingreso].[mes].&amp;[5]"/>
            <x15:cachedUniqueName index="5" name="[ppto_ingreso].[mes].&amp;[6]"/>
            <x15:cachedUniqueName index="6" name="[ppto_ingreso].[mes].&amp;[7]"/>
            <x15:cachedUniqueName index="7" name="[ppto_ingreso].[mes].&amp;[8]"/>
            <x15:cachedUniqueName index="8" name="[ppto_ingreso].[mes].&amp;[9]"/>
            <x15:cachedUniqueName index="9" name="[ppto_ingreso].[mes].&amp;[11]"/>
            <x15:cachedUniqueName index="10" name="[ppto_ingreso].[mes].&amp;[12]"/>
          </x15:cachedUniqueNames>
        </ext>
      </extLst>
    </cacheField>
    <cacheField name="[Measures].[Suma de usd_total]" caption="Suma de usd_total" numFmtId="0" hierarchy="27" level="32767"/>
  </cacheFields>
  <cacheHierarchies count="34">
    <cacheHierarchy uniqueName="[ppto_ingreso].[temporada]" caption="temporada" attribute="1" defaultMemberUniqueName="[ppto_ingreso].[temporada].[All]" allUniqueName="[ppto_ingreso].[temporada].[All]" dimensionUniqueName="[ppto_ingreso]" displayFolder="" count="0" memberValueDatatype="130" unbalanced="0"/>
    <cacheHierarchy uniqueName="[ppto_ingreso].[exportadora]" caption="exportadora" attribute="1" defaultMemberUniqueName="[ppto_ingreso].[exportadora].[All]" allUniqueName="[ppto_ingreso].[exportadora].[All]" dimensionUniqueName="[ppto_ingreso]" displayFolder="" count="2" memberValueDatatype="130" unbalanced="0">
      <fieldsUsage count="2">
        <fieldUsage x="-1"/>
        <fieldUsage x="1"/>
      </fieldsUsage>
    </cacheHierarchy>
    <cacheHierarchy uniqueName="[ppto_ingreso].[especie]" caption="especie" attribute="1" defaultMemberUniqueName="[ppto_ingreso].[especie].[All]" allUniqueName="[ppto_ingreso].[especie].[All]" dimensionUniqueName="[ppto_ingreso]" displayFolder="" count="2" memberValueDatatype="130" unbalanced="0">
      <fieldsUsage count="2">
        <fieldUsage x="-1"/>
        <fieldUsage x="0"/>
      </fieldsUsage>
    </cacheHierarchy>
    <cacheHierarchy uniqueName="[ppto_ingreso].[variedad]" caption="variedad" attribute="1" defaultMemberUniqueName="[ppto_ingreso].[variedad].[All]" allUniqueName="[ppto_ingreso].[variedad].[All]" dimensionUniqueName="[ppto_ingreso]" displayFolder="" count="0" memberValueDatatype="130" unbalanced="0"/>
    <cacheHierarchy uniqueName="[ppto_ingreso].[productor]" caption="productor" attribute="1" defaultMemberUniqueName="[ppto_ingreso].[productor].[All]" allUniqueName="[ppto_ingreso].[productor].[All]" dimensionUniqueName="[ppto_ingreso]" displayFolder="" count="0" memberValueDatatype="130" unbalanced="0"/>
    <cacheHierarchy uniqueName="[ppto_ingreso].[grupo]" caption="grupo" attribute="1" defaultMemberUniqueName="[ppto_ingreso].[grupo].[All]" allUniqueName="[ppto_ingreso].[grupo].[All]" dimensionUniqueName="[ppto_ingreso]" displayFolder="" count="0" memberValueDatatype="130" unbalanced="0"/>
    <cacheHierarchy uniqueName="[ppto_ingreso].[fecha]" caption="fecha" attribute="1" time="1" defaultMemberUniqueName="[ppto_ingreso].[fecha].[All]" allUniqueName="[ppto_ingreso].[fecha].[All]" dimensionUniqueName="[ppto_ingreso]" displayFolder="" count="0" memberValueDatatype="7" unbalanced="0"/>
    <cacheHierarchy uniqueName="[ppto_ingreso].[semana]" caption="semana" attribute="1" defaultMemberUniqueName="[ppto_ingreso].[semana].[All]" allUniqueName="[ppto_ingreso].[semana].[All]" dimensionUniqueName="[ppto_ingreso]" displayFolder="" count="0" memberValueDatatype="20" unbalanced="0"/>
    <cacheHierarchy uniqueName="[ppto_ingreso].[mes]" caption="mes" attribute="1" defaultMemberUniqueName="[ppto_ingreso].[mes].[All]" allUniqueName="[ppto_ingreso].[mes].[All]" dimensionUniqueName="[ppto_ingreso]" displayFolder="" count="2" memberValueDatatype="20" unbalanced="0">
      <fieldsUsage count="2">
        <fieldUsage x="-1"/>
        <fieldUsage x="2"/>
      </fieldsUsage>
    </cacheHierarchy>
    <cacheHierarchy uniqueName="[ppto_ingreso].[envase]" caption="envase" attribute="1" defaultMemberUniqueName="[ppto_ingreso].[envase].[All]" allUniqueName="[ppto_ingreso].[envase].[All]" dimensionUniqueName="[ppto_ingreso]" displayFolder="" count="0" memberValueDatatype="130" unbalanced="0"/>
    <cacheHierarchy uniqueName="[ppto_ingreso].[kgs_a_proc]" caption="kgs_a_proc" attribute="1" defaultMemberUniqueName="[ppto_ingreso].[kgs_a_proc].[All]" allUniqueName="[ppto_ingreso].[kgs_a_proc].[All]" dimensionUniqueName="[ppto_ingreso]" displayFolder="" count="0" memberValueDatatype="5" unbalanced="0"/>
    <cacheHierarchy uniqueName="[ppto_ingreso].[pct_export]" caption="pct_export" attribute="1" defaultMemberUniqueName="[ppto_ingreso].[pct_export].[All]" allUniqueName="[ppto_ingreso].[pct_export].[All]" dimensionUniqueName="[ppto_ingreso]" displayFolder="" count="0" memberValueDatatype="5" unbalanced="0"/>
    <cacheHierarchy uniqueName="[ppto_ingreso].[kg_export]" caption="kg_export" attribute="1" defaultMemberUniqueName="[ppto_ingreso].[kg_export].[All]" allUniqueName="[ppto_ingreso].[kg_export].[All]" dimensionUniqueName="[ppto_ingreso]" displayFolder="" count="0" memberValueDatatype="5" unbalanced="0"/>
    <cacheHierarchy uniqueName="[ppto_ingreso].[p_unit_packing]" caption="p_unit_packing" attribute="1" defaultMemberUniqueName="[ppto_ingreso].[p_unit_packing].[All]" allUniqueName="[ppto_ingreso].[p_unit_packing].[All]" dimensionUniqueName="[ppto_ingreso]" displayFolder="" count="0" memberValueDatatype="5" unbalanced="0"/>
    <cacheHierarchy uniqueName="[ppto_ingreso].[p_unit_frio]" caption="p_unit_frio" attribute="1" defaultMemberUniqueName="[ppto_ingreso].[p_unit_frio].[All]" allUniqueName="[ppto_ingreso].[p_unit_frio].[All]" dimensionUniqueName="[ppto_ingreso]" displayFolder="" count="0" memberValueDatatype="5" unbalanced="0"/>
    <cacheHierarchy uniqueName="[ppto_ingreso].[Unitario_Total]" caption="Unitario_Total" attribute="1" defaultMemberUniqueName="[ppto_ingreso].[Unitario_Total].[All]" allUniqueName="[ppto_ingreso].[Unitario_Total].[All]" dimensionUniqueName="[ppto_ingreso]" displayFolder="" count="0" memberValueDatatype="5" unbalanced="0"/>
    <cacheHierarchy uniqueName="[ppto_ingreso].[usd_packing]" caption="usd_packing" attribute="1" defaultMemberUniqueName="[ppto_ingreso].[usd_packing].[All]" allUniqueName="[ppto_ingreso].[usd_packing].[All]" dimensionUniqueName="[ppto_ingreso]" displayFolder="" count="0" memberValueDatatype="5" unbalanced="0"/>
    <cacheHierarchy uniqueName="[ppto_ingreso].[usd_frio]" caption="usd_frio" attribute="1" defaultMemberUniqueName="[ppto_ingreso].[usd_frio].[All]" allUniqueName="[ppto_ingreso].[usd_frio].[All]" dimensionUniqueName="[ppto_ingreso]" displayFolder="" count="0" memberValueDatatype="5" unbalanced="0"/>
    <cacheHierarchy uniqueName="[ppto_ingreso].[usd_total]" caption="usd_total" attribute="1" defaultMemberUniqueName="[ppto_ingreso].[usd_total].[All]" allUniqueName="[ppto_ingreso].[usd_total].[All]" dimensionUniqueName="[ppto_ingreso]" displayFolder="" count="0" memberValueDatatype="5" unbalanced="0"/>
    <cacheHierarchy uniqueName="[ppto_ingreso].[tasa_clp_usd]" caption="tasa_clp_usd" attribute="1" defaultMemberUniqueName="[ppto_ingreso].[tasa_clp_usd].[All]" allUniqueName="[ppto_ingreso].[tasa_clp_usd].[All]" dimensionUniqueName="[ppto_ingreso]" displayFolder="" count="0" memberValueDatatype="5" unbalanced="0"/>
    <cacheHierarchy uniqueName="[ppto_ingreso].[ingreso_clp]" caption="ingreso_clp" attribute="1" defaultMemberUniqueName="[ppto_ingreso].[ingreso_clp].[All]" allUniqueName="[ppto_ingreso].[ingreso_clp].[All]" dimensionUniqueName="[ppto_ingreso]" displayFolder="" count="0" memberValueDatatype="5" unbalanced="0"/>
    <cacheHierarchy uniqueName="[Measures].[__XL_Count ppto_ingreso]" caption="__XL_Count ppto_ingreso" measure="1" displayFolder="" measureGroup="ppto_ingreso" count="0" hidden="1"/>
    <cacheHierarchy uniqueName="[Measures].[__No measures defined]" caption="__No measures defined" measure="1" displayFolder="" count="0" hidden="1"/>
    <cacheHierarchy uniqueName="[Measures].[Suma de kgs_a_proc]" caption="Suma de kgs_a_proc" measure="1" displayFolder="" measureGroup="ppto_ingres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kg_export]" caption="Suma de kg_export" measure="1" displayFolder="" measureGroup="ppto_ingres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d_packing]" caption="Suma de usd_packing" measure="1" displayFolder="" measureGroup="ppto_ingres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usd_frio]" caption="Suma de usd_frio" measure="1" displayFolder="" measureGroup="ppto_ingres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usd_total]" caption="Suma de usd_total" measure="1" displayFolder="" measureGroup="ppto_ingres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p_unit_packing]" caption="Suma de p_unit_packing" measure="1" displayFolder="" measureGroup="ppto_ingres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p_unit_frio]" caption="Suma de p_unit_frio" measure="1" displayFolder="" measureGroup="ppto_ingres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_unit_frio]" caption="Promedio de p_unit_frio" measure="1" displayFolder="" measureGroup="ppto_ingres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_unit_packing]" caption="Promedio de p_unit_packing" measure="1" displayFolder="" measureGroup="ppto_ingres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Unitario_Total]" caption="Suma de Unitario_Total" measure="1" displayFolder="" measureGroup="ppto_ingres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Promedio de Unitario_Total]" caption="Promedio de Unitario_Total" measure="1" displayFolder="" measureGroup="ppto_ingres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ppto_ingreso" uniqueName="[ppto_ingreso]" caption="ppto_ingreso"/>
  </dimensions>
  <measureGroups count="1">
    <measureGroup name="ppto_ingreso" caption="ppto_ingres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rgio Arenas" refreshedDate="46104.457012615741" backgroundQuery="1" createdVersion="8" refreshedVersion="8" minRefreshableVersion="3" recordCount="0" supportSubquery="1" supportAdvancedDrill="1" xr:uid="{4F15843D-A07F-46E5-998C-7B2EF644662D}">
  <cacheSource type="external" connectionId="2"/>
  <cacheFields count="5">
    <cacheField name="[ppto_ingreso].[especie].[especie]" caption="especie" numFmtId="0" hierarchy="2" level="1">
      <sharedItems count="10">
        <s v="Ciruelas"/>
        <s v="Damasco"/>
        <s v="Durazno"/>
        <s v="Durazno Planos"/>
        <s v="Kiwi"/>
        <s v="Limon"/>
        <s v="Mandarina"/>
        <s v="Naranjas"/>
        <s v="Nectarin"/>
        <s v="Pera"/>
      </sharedItems>
    </cacheField>
    <cacheField name="[ppto_ingreso].[exportadora].[exportadora]" caption="exportadora" numFmtId="0" hierarchy="1" level="1">
      <sharedItems count="8">
        <s v="AGUA SANTA"/>
        <s v="TRIOFRUT"/>
        <s v="SOFRUCO"/>
        <s v="REINA SUR"/>
        <s v="EL PARQUE"/>
        <s v="IDAHUE"/>
        <s v="CHUCAO"/>
        <s v="TOTAL FRUIT"/>
      </sharedItems>
    </cacheField>
    <cacheField name="[Measures].[Promedio de p_unit_packing]" caption="Promedio de p_unit_packing" numFmtId="0" hierarchy="31" level="32767"/>
    <cacheField name="[Measures].[Promedio de p_unit_frio]" caption="Promedio de p_unit_frio" numFmtId="0" hierarchy="30" level="32767"/>
    <cacheField name="[Measures].[Promedio de Unitario_Total]" caption="Promedio de Unitario_Total" numFmtId="0" hierarchy="33" level="32767"/>
  </cacheFields>
  <cacheHierarchies count="34">
    <cacheHierarchy uniqueName="[ppto_ingreso].[temporada]" caption="temporada" attribute="1" defaultMemberUniqueName="[ppto_ingreso].[temporada].[All]" allUniqueName="[ppto_ingreso].[temporada].[All]" dimensionUniqueName="[ppto_ingreso]" displayFolder="" count="0" memberValueDatatype="130" unbalanced="0"/>
    <cacheHierarchy uniqueName="[ppto_ingreso].[exportadora]" caption="exportadora" attribute="1" defaultMemberUniqueName="[ppto_ingreso].[exportadora].[All]" allUniqueName="[ppto_ingreso].[exportadora].[All]" dimensionUniqueName="[ppto_ingreso]" displayFolder="" count="2" memberValueDatatype="130" unbalanced="0">
      <fieldsUsage count="2">
        <fieldUsage x="-1"/>
        <fieldUsage x="1"/>
      </fieldsUsage>
    </cacheHierarchy>
    <cacheHierarchy uniqueName="[ppto_ingreso].[especie]" caption="especie" attribute="1" defaultMemberUniqueName="[ppto_ingreso].[especie].[All]" allUniqueName="[ppto_ingreso].[especie].[All]" dimensionUniqueName="[ppto_ingreso]" displayFolder="" count="2" memberValueDatatype="130" unbalanced="0">
      <fieldsUsage count="2">
        <fieldUsage x="-1"/>
        <fieldUsage x="0"/>
      </fieldsUsage>
    </cacheHierarchy>
    <cacheHierarchy uniqueName="[ppto_ingreso].[variedad]" caption="variedad" attribute="1" defaultMemberUniqueName="[ppto_ingreso].[variedad].[All]" allUniqueName="[ppto_ingreso].[variedad].[All]" dimensionUniqueName="[ppto_ingreso]" displayFolder="" count="0" memberValueDatatype="130" unbalanced="0"/>
    <cacheHierarchy uniqueName="[ppto_ingreso].[productor]" caption="productor" attribute="1" defaultMemberUniqueName="[ppto_ingreso].[productor].[All]" allUniqueName="[ppto_ingreso].[productor].[All]" dimensionUniqueName="[ppto_ingreso]" displayFolder="" count="0" memberValueDatatype="130" unbalanced="0"/>
    <cacheHierarchy uniqueName="[ppto_ingreso].[grupo]" caption="grupo" attribute="1" defaultMemberUniqueName="[ppto_ingreso].[grupo].[All]" allUniqueName="[ppto_ingreso].[grupo].[All]" dimensionUniqueName="[ppto_ingreso]" displayFolder="" count="0" memberValueDatatype="130" unbalanced="0"/>
    <cacheHierarchy uniqueName="[ppto_ingreso].[fecha]" caption="fecha" attribute="1" time="1" defaultMemberUniqueName="[ppto_ingreso].[fecha].[All]" allUniqueName="[ppto_ingreso].[fecha].[All]" dimensionUniqueName="[ppto_ingreso]" displayFolder="" count="0" memberValueDatatype="7" unbalanced="0"/>
    <cacheHierarchy uniqueName="[ppto_ingreso].[semana]" caption="semana" attribute="1" defaultMemberUniqueName="[ppto_ingreso].[semana].[All]" allUniqueName="[ppto_ingreso].[semana].[All]" dimensionUniqueName="[ppto_ingreso]" displayFolder="" count="0" memberValueDatatype="20" unbalanced="0"/>
    <cacheHierarchy uniqueName="[ppto_ingreso].[mes]" caption="mes" attribute="1" defaultMemberUniqueName="[ppto_ingreso].[mes].[All]" allUniqueName="[ppto_ingreso].[mes].[All]" dimensionUniqueName="[ppto_ingreso]" displayFolder="" count="0" memberValueDatatype="20" unbalanced="0"/>
    <cacheHierarchy uniqueName="[ppto_ingreso].[envase]" caption="envase" attribute="1" defaultMemberUniqueName="[ppto_ingreso].[envase].[All]" allUniqueName="[ppto_ingreso].[envase].[All]" dimensionUniqueName="[ppto_ingreso]" displayFolder="" count="0" memberValueDatatype="130" unbalanced="0"/>
    <cacheHierarchy uniqueName="[ppto_ingreso].[kgs_a_proc]" caption="kgs_a_proc" attribute="1" defaultMemberUniqueName="[ppto_ingreso].[kgs_a_proc].[All]" allUniqueName="[ppto_ingreso].[kgs_a_proc].[All]" dimensionUniqueName="[ppto_ingreso]" displayFolder="" count="0" memberValueDatatype="5" unbalanced="0"/>
    <cacheHierarchy uniqueName="[ppto_ingreso].[pct_export]" caption="pct_export" attribute="1" defaultMemberUniqueName="[ppto_ingreso].[pct_export].[All]" allUniqueName="[ppto_ingreso].[pct_export].[All]" dimensionUniqueName="[ppto_ingreso]" displayFolder="" count="0" memberValueDatatype="5" unbalanced="0"/>
    <cacheHierarchy uniqueName="[ppto_ingreso].[kg_export]" caption="kg_export" attribute="1" defaultMemberUniqueName="[ppto_ingreso].[kg_export].[All]" allUniqueName="[ppto_ingreso].[kg_export].[All]" dimensionUniqueName="[ppto_ingreso]" displayFolder="" count="0" memberValueDatatype="5" unbalanced="0"/>
    <cacheHierarchy uniqueName="[ppto_ingreso].[p_unit_packing]" caption="p_unit_packing" attribute="1" defaultMemberUniqueName="[ppto_ingreso].[p_unit_packing].[All]" allUniqueName="[ppto_ingreso].[p_unit_packing].[All]" dimensionUniqueName="[ppto_ingreso]" displayFolder="" count="0" memberValueDatatype="5" unbalanced="0"/>
    <cacheHierarchy uniqueName="[ppto_ingreso].[p_unit_frio]" caption="p_unit_frio" attribute="1" defaultMemberUniqueName="[ppto_ingreso].[p_unit_frio].[All]" allUniqueName="[ppto_ingreso].[p_unit_frio].[All]" dimensionUniqueName="[ppto_ingreso]" displayFolder="" count="0" memberValueDatatype="5" unbalanced="0"/>
    <cacheHierarchy uniqueName="[ppto_ingreso].[Unitario_Total]" caption="Unitario_Total" attribute="1" defaultMemberUniqueName="[ppto_ingreso].[Unitario_Total].[All]" allUniqueName="[ppto_ingreso].[Unitario_Total].[All]" dimensionUniqueName="[ppto_ingreso]" displayFolder="" count="0" memberValueDatatype="5" unbalanced="0"/>
    <cacheHierarchy uniqueName="[ppto_ingreso].[usd_packing]" caption="usd_packing" attribute="1" defaultMemberUniqueName="[ppto_ingreso].[usd_packing].[All]" allUniqueName="[ppto_ingreso].[usd_packing].[All]" dimensionUniqueName="[ppto_ingreso]" displayFolder="" count="0" memberValueDatatype="5" unbalanced="0"/>
    <cacheHierarchy uniqueName="[ppto_ingreso].[usd_frio]" caption="usd_frio" attribute="1" defaultMemberUniqueName="[ppto_ingreso].[usd_frio].[All]" allUniqueName="[ppto_ingreso].[usd_frio].[All]" dimensionUniqueName="[ppto_ingreso]" displayFolder="" count="0" memberValueDatatype="5" unbalanced="0"/>
    <cacheHierarchy uniqueName="[ppto_ingreso].[usd_total]" caption="usd_total" attribute="1" defaultMemberUniqueName="[ppto_ingreso].[usd_total].[All]" allUniqueName="[ppto_ingreso].[usd_total].[All]" dimensionUniqueName="[ppto_ingreso]" displayFolder="" count="0" memberValueDatatype="5" unbalanced="0"/>
    <cacheHierarchy uniqueName="[ppto_ingreso].[tasa_clp_usd]" caption="tasa_clp_usd" attribute="1" defaultMemberUniqueName="[ppto_ingreso].[tasa_clp_usd].[All]" allUniqueName="[ppto_ingreso].[tasa_clp_usd].[All]" dimensionUniqueName="[ppto_ingreso]" displayFolder="" count="0" memberValueDatatype="5" unbalanced="0"/>
    <cacheHierarchy uniqueName="[ppto_ingreso].[ingreso_clp]" caption="ingreso_clp" attribute="1" defaultMemberUniqueName="[ppto_ingreso].[ingreso_clp].[All]" allUniqueName="[ppto_ingreso].[ingreso_clp].[All]" dimensionUniqueName="[ppto_ingreso]" displayFolder="" count="0" memberValueDatatype="5" unbalanced="0"/>
    <cacheHierarchy uniqueName="[Measures].[__XL_Count ppto_ingreso]" caption="__XL_Count ppto_ingreso" measure="1" displayFolder="" measureGroup="ppto_ingreso" count="0" hidden="1"/>
    <cacheHierarchy uniqueName="[Measures].[__No measures defined]" caption="__No measures defined" measure="1" displayFolder="" count="0" hidden="1"/>
    <cacheHierarchy uniqueName="[Measures].[Suma de kgs_a_proc]" caption="Suma de kgs_a_proc" measure="1" displayFolder="" measureGroup="ppto_ingres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a de kg_export]" caption="Suma de kg_export" measure="1" displayFolder="" measureGroup="ppto_ingreso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usd_packing]" caption="Suma de usd_packing" measure="1" displayFolder="" measureGroup="ppto_ingreso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usd_frio]" caption="Suma de usd_frio" measure="1" displayFolder="" measureGroup="ppto_ingres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de usd_total]" caption="Suma de usd_total" measure="1" displayFolder="" measureGroup="ppto_ingreso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a de p_unit_packing]" caption="Suma de p_unit_packing" measure="1" displayFolder="" measureGroup="ppto_ingres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p_unit_frio]" caption="Suma de p_unit_frio" measure="1" displayFolder="" measureGroup="ppto_ingreso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_unit_frio]" caption="Promedio de p_unit_frio" measure="1" displayFolder="" measureGroup="ppto_ingres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Promedio de p_unit_packing]" caption="Promedio de p_unit_packing" measure="1" displayFolder="" measureGroup="ppto_ingres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Unitario_Total]" caption="Suma de Unitario_Total" measure="1" displayFolder="" measureGroup="ppto_ingreso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Promedio de Unitario_Total]" caption="Promedio de Unitario_Total" measure="1" displayFolder="" measureGroup="ppto_ingreso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ppto_ingreso" uniqueName="[ppto_ingreso]" caption="ppto_ingreso"/>
  </dimensions>
  <measureGroups count="1">
    <measureGroup name="ppto_ingreso" caption="ppto_ingres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1C1E3-D41F-42CA-B32B-E53EF6F57C51}" name="TablaDinámica2" cacheId="29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Kilos">
  <location ref="A33:N55" firstHeaderRow="1" firstDataRow="2" firstDataCol="2"/>
  <pivotFields count="4">
    <pivotField axis="axisRow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Col" allDrilled="1" outline="0" subtotalTop="0" showAll="0" defaultSubtotal="0" defaultAttributeDrillState="1">
      <items count="11">
        <item x="9"/>
        <item x="10"/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2">
    <field x="0"/>
    <field x="1"/>
  </rowFields>
  <rowItems count="21">
    <i>
      <x/>
      <x/>
    </i>
    <i r="1">
      <x v="1"/>
    </i>
    <i>
      <x v="1"/>
      <x/>
    </i>
    <i r="1">
      <x v="2"/>
    </i>
    <i>
      <x v="2"/>
      <x/>
    </i>
    <i r="1">
      <x v="1"/>
    </i>
    <i>
      <x v="3"/>
      <x/>
    </i>
    <i>
      <x v="4"/>
      <x/>
    </i>
    <i r="1">
      <x v="3"/>
    </i>
    <i r="1">
      <x v="1"/>
    </i>
    <i>
      <x v="5"/>
      <x v="4"/>
    </i>
    <i>
      <x v="6"/>
      <x/>
    </i>
    <i r="1">
      <x v="5"/>
    </i>
    <i>
      <x v="7"/>
      <x/>
    </i>
    <i>
      <x v="8"/>
      <x/>
    </i>
    <i r="1">
      <x v="6"/>
    </i>
    <i r="1">
      <x v="7"/>
    </i>
    <i r="1">
      <x v="1"/>
    </i>
    <i>
      <x v="9"/>
      <x/>
    </i>
    <i r="1">
      <x v="1"/>
    </i>
    <i t="grand">
      <x/>
    </i>
  </rowItems>
  <colFields count="1">
    <field x="2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a de kg_export" fld="3" baseField="1" baseItem="1" numFmtId="3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1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ppto_ingreso">
        <x15:activeTabTopLevelEntity name="[ppto_ingres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494EB-21B9-4460-9AF9-09667B96517F}" name="TablaDinámica1" cacheId="2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Kilos">
  <location ref="A5:N27" firstHeaderRow="1" firstDataRow="2" firstDataCol="2"/>
  <pivotFields count="4">
    <pivotField axis="axisRow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outline="0" subtotalTop="0" showAll="0" defaultSubtotal="0"/>
    <pivotField axis="axisCol" allDrilled="1" outline="0" subtotalTop="0" showAll="0" defaultSubtotal="0" defaultAttributeDrillState="1">
      <items count="11">
        <item x="9"/>
        <item x="10"/>
        <item x="0"/>
        <item x="1"/>
        <item x="2"/>
        <item x="3"/>
        <item x="4"/>
        <item x="5"/>
        <item x="6"/>
        <item x="7"/>
        <item x="8"/>
      </items>
    </pivotField>
  </pivotFields>
  <rowFields count="2">
    <field x="0"/>
    <field x="1"/>
  </rowFields>
  <rowItems count="21">
    <i>
      <x/>
      <x/>
    </i>
    <i r="1">
      <x v="1"/>
    </i>
    <i>
      <x v="1"/>
      <x/>
    </i>
    <i r="1">
      <x v="2"/>
    </i>
    <i>
      <x v="2"/>
      <x/>
    </i>
    <i r="1">
      <x v="1"/>
    </i>
    <i>
      <x v="3"/>
      <x/>
    </i>
    <i>
      <x v="4"/>
      <x/>
    </i>
    <i r="1">
      <x v="3"/>
    </i>
    <i r="1">
      <x v="1"/>
    </i>
    <i>
      <x v="5"/>
      <x v="4"/>
    </i>
    <i>
      <x v="6"/>
      <x/>
    </i>
    <i r="1">
      <x v="5"/>
    </i>
    <i>
      <x v="7"/>
      <x/>
    </i>
    <i>
      <x v="8"/>
      <x/>
    </i>
    <i r="1">
      <x v="6"/>
    </i>
    <i r="1">
      <x v="7"/>
    </i>
    <i r="1">
      <x v="1"/>
    </i>
    <i>
      <x v="9"/>
      <x/>
    </i>
    <i r="1">
      <x v="1"/>
    </i>
    <i t="grand">
      <x/>
    </i>
  </rowItems>
  <colFields count="1">
    <field x="3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a de kgs_a_proc" fld="2" baseField="1" baseItem="0" numFmtId="3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1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ppto_ingreso">
        <x15:activeTabTopLevelEntity name="[ppto_ingres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E44AB-7FBE-4614-B14B-4B5591F03C77}" name="TablaDinámica3" cacheId="29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Kilos">
  <location ref="A58:N80" firstHeaderRow="1" firstDataRow="2" firstDataCol="2"/>
  <pivotFields count="4">
    <pivotField axis="axisRow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Col" allDrilled="1" outline="0" subtotalTop="0" showAll="0" defaultSubtotal="0" defaultAttributeDrillState="1">
      <items count="11">
        <item x="9"/>
        <item x="10"/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2">
    <field x="0"/>
    <field x="1"/>
  </rowFields>
  <rowItems count="21">
    <i>
      <x/>
      <x/>
    </i>
    <i r="1">
      <x v="1"/>
    </i>
    <i>
      <x v="1"/>
      <x/>
    </i>
    <i r="1">
      <x v="2"/>
    </i>
    <i>
      <x v="2"/>
      <x/>
    </i>
    <i r="1">
      <x v="1"/>
    </i>
    <i>
      <x v="3"/>
      <x/>
    </i>
    <i>
      <x v="4"/>
      <x/>
    </i>
    <i r="1">
      <x v="3"/>
    </i>
    <i r="1">
      <x v="1"/>
    </i>
    <i>
      <x v="5"/>
      <x v="4"/>
    </i>
    <i>
      <x v="6"/>
      <x/>
    </i>
    <i r="1">
      <x v="5"/>
    </i>
    <i>
      <x v="7"/>
      <x/>
    </i>
    <i>
      <x v="8"/>
      <x/>
    </i>
    <i r="1">
      <x v="6"/>
    </i>
    <i r="1">
      <x v="7"/>
    </i>
    <i r="1">
      <x v="1"/>
    </i>
    <i>
      <x v="9"/>
      <x/>
    </i>
    <i r="1">
      <x v="1"/>
    </i>
    <i t="grand">
      <x/>
    </i>
  </rowItems>
  <colFields count="1">
    <field x="2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a de usd_total" fld="3" baseField="1" baseItem="0" numFmtId="4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1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ppto_ingreso">
        <x15:activeTabTopLevelEntity name="[ppto_ingres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E6414-4FFC-4B98-9E8D-B81C32389B92}" name="TablaDinámica1" cacheId="29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Kilos">
  <location ref="A4:N26" firstHeaderRow="1" firstDataRow="2" firstDataCol="2"/>
  <pivotFields count="4">
    <pivotField axis="axisRow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Col" allDrilled="1" outline="0" subtotalTop="0" showAll="0" defaultSubtotal="0" defaultAttributeDrillState="1">
      <items count="11">
        <item x="9"/>
        <item x="10"/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2">
    <field x="0"/>
    <field x="1"/>
  </rowFields>
  <rowItems count="21">
    <i>
      <x/>
      <x/>
    </i>
    <i r="1">
      <x v="1"/>
    </i>
    <i>
      <x v="1"/>
      <x/>
    </i>
    <i r="1">
      <x v="2"/>
    </i>
    <i>
      <x v="2"/>
      <x/>
    </i>
    <i r="1">
      <x v="1"/>
    </i>
    <i>
      <x v="3"/>
      <x/>
    </i>
    <i>
      <x v="4"/>
      <x/>
    </i>
    <i r="1">
      <x v="3"/>
    </i>
    <i r="1">
      <x v="1"/>
    </i>
    <i>
      <x v="5"/>
      <x v="4"/>
    </i>
    <i>
      <x v="6"/>
      <x/>
    </i>
    <i r="1">
      <x v="5"/>
    </i>
    <i>
      <x v="7"/>
      <x/>
    </i>
    <i>
      <x v="8"/>
      <x/>
    </i>
    <i r="1">
      <x v="6"/>
    </i>
    <i r="1">
      <x v="7"/>
    </i>
    <i r="1">
      <x v="1"/>
    </i>
    <i>
      <x v="9"/>
      <x/>
    </i>
    <i r="1">
      <x v="1"/>
    </i>
    <i t="grand">
      <x/>
    </i>
  </rowItems>
  <colFields count="1">
    <field x="2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a de usd_packing" fld="3" baseField="1" baseItem="0" numFmtId="4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1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ppto_ingreso">
        <x15:activeTabTopLevelEntity name="[ppto_ingres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33007F-5F8E-4B46-9019-98E0679D2BD4}" name="TablaDinámica2" cacheId="29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Kilos">
  <location ref="A31:N53" firstHeaderRow="1" firstDataRow="2" firstDataCol="2"/>
  <pivotFields count="4">
    <pivotField axis="axisRow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Col" allDrilled="1" outline="0" subtotalTop="0" showAll="0" defaultSubtotal="0" defaultAttributeDrillState="1">
      <items count="11">
        <item x="9"/>
        <item x="10"/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2">
    <field x="0"/>
    <field x="1"/>
  </rowFields>
  <rowItems count="21">
    <i>
      <x/>
      <x/>
    </i>
    <i r="1">
      <x v="1"/>
    </i>
    <i>
      <x v="1"/>
      <x/>
    </i>
    <i r="1">
      <x v="2"/>
    </i>
    <i>
      <x v="2"/>
      <x/>
    </i>
    <i r="1">
      <x v="1"/>
    </i>
    <i>
      <x v="3"/>
      <x/>
    </i>
    <i>
      <x v="4"/>
      <x/>
    </i>
    <i r="1">
      <x v="3"/>
    </i>
    <i r="1">
      <x v="1"/>
    </i>
    <i>
      <x v="5"/>
      <x v="4"/>
    </i>
    <i>
      <x v="6"/>
      <x/>
    </i>
    <i r="1">
      <x v="5"/>
    </i>
    <i>
      <x v="7"/>
      <x/>
    </i>
    <i>
      <x v="8"/>
      <x/>
    </i>
    <i r="1">
      <x v="6"/>
    </i>
    <i r="1">
      <x v="7"/>
    </i>
    <i r="1">
      <x v="1"/>
    </i>
    <i>
      <x v="9"/>
      <x/>
    </i>
    <i r="1">
      <x v="1"/>
    </i>
    <i t="grand">
      <x/>
    </i>
  </rowItems>
  <colFields count="1">
    <field x="2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a de usd_frio" fld="3" baseField="1" baseItem="2" numFmtId="4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1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ppto_ingreso">
        <x15:activeTabTopLevelEntity name="[ppto_ingres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F4808-6D07-4948-9A9C-735B009553A0}" name="TablaDinámica2" cacheId="29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Kilos">
  <location ref="A31:N53" firstHeaderRow="1" firstDataRow="2" firstDataCol="2"/>
  <pivotFields count="4">
    <pivotField axis="axisRow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Col" allDrilled="1" outline="0" subtotalTop="0" showAll="0" defaultSubtotal="0" defaultAttributeDrillState="1">
      <items count="11">
        <item x="9"/>
        <item x="10"/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2">
    <field x="0"/>
    <field x="1"/>
  </rowFields>
  <rowItems count="21">
    <i>
      <x/>
      <x/>
    </i>
    <i r="1">
      <x v="1"/>
    </i>
    <i>
      <x v="1"/>
      <x/>
    </i>
    <i r="1">
      <x v="2"/>
    </i>
    <i>
      <x v="2"/>
      <x/>
    </i>
    <i r="1">
      <x v="1"/>
    </i>
    <i>
      <x v="3"/>
      <x/>
    </i>
    <i>
      <x v="4"/>
      <x/>
    </i>
    <i r="1">
      <x v="3"/>
    </i>
    <i r="1">
      <x v="1"/>
    </i>
    <i>
      <x v="5"/>
      <x v="4"/>
    </i>
    <i>
      <x v="6"/>
      <x/>
    </i>
    <i r="1">
      <x v="5"/>
    </i>
    <i>
      <x v="7"/>
      <x/>
    </i>
    <i>
      <x v="8"/>
      <x/>
    </i>
    <i r="1">
      <x v="6"/>
    </i>
    <i r="1">
      <x v="7"/>
    </i>
    <i r="1">
      <x v="1"/>
    </i>
    <i>
      <x v="9"/>
      <x/>
    </i>
    <i r="1">
      <x v="1"/>
    </i>
    <i t="grand">
      <x/>
    </i>
  </rowItems>
  <colFields count="1">
    <field x="2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a de usd_frio" fld="3" baseField="1" baseItem="2" numFmtId="4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1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ppto_ingreso">
        <x15:activeTabTopLevelEntity name="[ppto_ingres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E5EF2A-FCD6-471C-9A9F-1FAF8E24E21A}" name="TablaDinámica1" cacheId="29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Kilos">
  <location ref="A4:N26" firstHeaderRow="1" firstDataRow="2" firstDataCol="2"/>
  <pivotFields count="4">
    <pivotField axis="axisRow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Col" allDrilled="1" outline="0" subtotalTop="0" showAll="0" defaultSubtotal="0" defaultAttributeDrillState="1">
      <items count="11">
        <item x="9"/>
        <item x="10"/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2">
    <field x="0"/>
    <field x="1"/>
  </rowFields>
  <rowItems count="21">
    <i>
      <x/>
      <x/>
    </i>
    <i r="1">
      <x v="1"/>
    </i>
    <i>
      <x v="1"/>
      <x/>
    </i>
    <i r="1">
      <x v="2"/>
    </i>
    <i>
      <x v="2"/>
      <x/>
    </i>
    <i r="1">
      <x v="1"/>
    </i>
    <i>
      <x v="3"/>
      <x/>
    </i>
    <i>
      <x v="4"/>
      <x/>
    </i>
    <i r="1">
      <x v="3"/>
    </i>
    <i r="1">
      <x v="1"/>
    </i>
    <i>
      <x v="5"/>
      <x v="4"/>
    </i>
    <i>
      <x v="6"/>
      <x/>
    </i>
    <i r="1">
      <x v="5"/>
    </i>
    <i>
      <x v="7"/>
      <x/>
    </i>
    <i>
      <x v="8"/>
      <x/>
    </i>
    <i r="1">
      <x v="6"/>
    </i>
    <i r="1">
      <x v="7"/>
    </i>
    <i r="1">
      <x v="1"/>
    </i>
    <i>
      <x v="9"/>
      <x/>
    </i>
    <i r="1">
      <x v="1"/>
    </i>
    <i t="grand">
      <x/>
    </i>
  </rowItems>
  <colFields count="1">
    <field x="2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a de usd_packing" fld="3" baseField="1" baseItem="0" numFmtId="4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1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ppto_ingreso">
        <x15:activeTabTopLevelEntity name="[ppto_ingres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6EC3A-E1EC-45CD-B17C-14E0FBFD106D}" name="TablaDinámica3" cacheId="29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Kilos">
  <location ref="A58:N80" firstHeaderRow="1" firstDataRow="2" firstDataCol="2"/>
  <pivotFields count="4">
    <pivotField axis="axisRow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Col" allDrilled="1" outline="0" subtotalTop="0" showAll="0" defaultSubtotal="0" defaultAttributeDrillState="1">
      <items count="11">
        <item x="9"/>
        <item x="10"/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2">
    <field x="0"/>
    <field x="1"/>
  </rowFields>
  <rowItems count="21">
    <i>
      <x/>
      <x/>
    </i>
    <i r="1">
      <x v="1"/>
    </i>
    <i>
      <x v="1"/>
      <x/>
    </i>
    <i r="1">
      <x v="2"/>
    </i>
    <i>
      <x v="2"/>
      <x/>
    </i>
    <i r="1">
      <x v="1"/>
    </i>
    <i>
      <x v="3"/>
      <x/>
    </i>
    <i>
      <x v="4"/>
      <x/>
    </i>
    <i r="1">
      <x v="3"/>
    </i>
    <i r="1">
      <x v="1"/>
    </i>
    <i>
      <x v="5"/>
      <x v="4"/>
    </i>
    <i>
      <x v="6"/>
      <x/>
    </i>
    <i r="1">
      <x v="5"/>
    </i>
    <i>
      <x v="7"/>
      <x/>
    </i>
    <i>
      <x v="8"/>
      <x/>
    </i>
    <i r="1">
      <x v="6"/>
    </i>
    <i r="1">
      <x v="7"/>
    </i>
    <i r="1">
      <x v="1"/>
    </i>
    <i>
      <x v="9"/>
      <x/>
    </i>
    <i r="1">
      <x v="1"/>
    </i>
    <i t="grand">
      <x/>
    </i>
  </rowItems>
  <colFields count="1">
    <field x="2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a de usd_total" fld="3" baseField="1" baseItem="0" numFmtId="4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1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ppto_ingreso">
        <x15:activeTabTopLevelEntity name="[ppto_ingres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446C49-6315-49B0-BBE3-36E4452D6EEB}" name="TablaDinámica1" cacheId="30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Kilos">
  <location ref="A4:E25" firstHeaderRow="0" firstDataRow="1" firstDataCol="2"/>
  <pivotFields count="5">
    <pivotField axis="axisRow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21">
    <i>
      <x/>
      <x/>
    </i>
    <i r="1">
      <x v="1"/>
    </i>
    <i>
      <x v="1"/>
      <x/>
    </i>
    <i r="1">
      <x v="2"/>
    </i>
    <i>
      <x v="2"/>
      <x/>
    </i>
    <i r="1">
      <x v="1"/>
    </i>
    <i>
      <x v="3"/>
      <x/>
    </i>
    <i>
      <x v="4"/>
      <x/>
    </i>
    <i r="1">
      <x v="3"/>
    </i>
    <i r="1">
      <x v="1"/>
    </i>
    <i>
      <x v="5"/>
      <x v="4"/>
    </i>
    <i>
      <x v="6"/>
      <x/>
    </i>
    <i r="1">
      <x v="5"/>
    </i>
    <i>
      <x v="7"/>
      <x/>
    </i>
    <i>
      <x v="8"/>
      <x/>
    </i>
    <i r="1">
      <x v="6"/>
    </i>
    <i r="1">
      <x v="7"/>
    </i>
    <i r="1">
      <x v="1"/>
    </i>
    <i>
      <x v="9"/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Unit Pack" fld="2" subtotal="average" baseField="1" baseItem="0" numFmtId="164"/>
    <dataField name="unit_frio" fld="3" subtotal="average" baseField="1" baseItem="0" numFmtId="164"/>
    <dataField name="Promedio de Unitario_Total" fld="4" subtotal="average" baseField="1" baseItem="5" numFmtId="164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unit_frio"/>
    <pivotHierarchy dragToData="1" caption="Unit Pack"/>
    <pivotHierarchy dragToData="1" caption="Unitario_Total"/>
    <pivotHierarchy dragToData="1" caption="Promedio de Unitario_Total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Consulta - ppto_ingreso">
        <x15:activeTabTopLevelEntity name="[ppto_ingres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0B6E-C071-4101-8822-741BCEB2B5DE}">
  <dimension ref="A2:N55"/>
  <sheetViews>
    <sheetView showGridLines="0" zoomScale="85" zoomScaleNormal="85" workbookViewId="0">
      <selection activeCell="C9" sqref="C9"/>
    </sheetView>
  </sheetViews>
  <sheetFormatPr baseColWidth="10" defaultRowHeight="15" x14ac:dyDescent="0.25"/>
  <cols>
    <col min="1" max="1" width="18" bestFit="1" customWidth="1"/>
    <col min="2" max="2" width="14.140625" bestFit="1" customWidth="1"/>
    <col min="3" max="3" width="9.28515625" bestFit="1" customWidth="1"/>
    <col min="4" max="4" width="10.28515625" bestFit="1" customWidth="1"/>
    <col min="5" max="13" width="9.28515625" bestFit="1" customWidth="1"/>
    <col min="14" max="14" width="12.5703125" bestFit="1" customWidth="1"/>
  </cols>
  <sheetData>
    <row r="2" spans="1:14" x14ac:dyDescent="0.25">
      <c r="B2" s="3" t="s">
        <v>24</v>
      </c>
      <c r="C2" s="3" t="s">
        <v>25</v>
      </c>
    </row>
    <row r="3" spans="1:14" x14ac:dyDescent="0.25">
      <c r="B3" s="3" t="s">
        <v>26</v>
      </c>
      <c r="C3" s="4">
        <v>46007</v>
      </c>
    </row>
    <row r="4" spans="1:14" x14ac:dyDescent="0.25">
      <c r="B4" s="5" t="s">
        <v>27</v>
      </c>
      <c r="C4" s="6"/>
    </row>
    <row r="5" spans="1:14" x14ac:dyDescent="0.25">
      <c r="A5" s="1" t="s">
        <v>20</v>
      </c>
      <c r="C5" s="1" t="s">
        <v>22</v>
      </c>
    </row>
    <row r="6" spans="1:14" x14ac:dyDescent="0.25">
      <c r="A6" s="1" t="s">
        <v>0</v>
      </c>
      <c r="B6" s="1" t="s">
        <v>21</v>
      </c>
      <c r="C6">
        <v>11</v>
      </c>
      <c r="D6">
        <v>12</v>
      </c>
      <c r="E6">
        <v>1</v>
      </c>
      <c r="F6">
        <v>2</v>
      </c>
      <c r="G6">
        <v>3</v>
      </c>
      <c r="H6">
        <v>4</v>
      </c>
      <c r="I6">
        <v>5</v>
      </c>
      <c r="J6">
        <v>6</v>
      </c>
      <c r="K6">
        <v>7</v>
      </c>
      <c r="L6">
        <v>8</v>
      </c>
      <c r="M6">
        <v>9</v>
      </c>
      <c r="N6" t="s">
        <v>11</v>
      </c>
    </row>
    <row r="7" spans="1:14" x14ac:dyDescent="0.25">
      <c r="A7" t="s">
        <v>1</v>
      </c>
      <c r="B7" t="s">
        <v>12</v>
      </c>
      <c r="C7" s="2"/>
      <c r="D7" s="2">
        <v>534790</v>
      </c>
      <c r="E7" s="2">
        <v>490776.44979919679</v>
      </c>
      <c r="F7" s="2">
        <v>745803.30634112982</v>
      </c>
      <c r="G7" s="2"/>
      <c r="H7" s="2">
        <v>5622.4899598393567</v>
      </c>
      <c r="I7" s="2"/>
      <c r="J7" s="2"/>
      <c r="K7" s="2"/>
      <c r="L7" s="2"/>
      <c r="M7" s="2"/>
      <c r="N7" s="2">
        <v>1776992.2461001654</v>
      </c>
    </row>
    <row r="8" spans="1:14" x14ac:dyDescent="0.25">
      <c r="B8" t="s">
        <v>13</v>
      </c>
      <c r="C8" s="2"/>
      <c r="D8" s="2"/>
      <c r="E8" s="2">
        <v>713382</v>
      </c>
      <c r="F8" s="2">
        <v>568800</v>
      </c>
      <c r="G8" s="2"/>
      <c r="H8" s="2"/>
      <c r="I8" s="2"/>
      <c r="J8" s="2"/>
      <c r="K8" s="2"/>
      <c r="L8" s="2"/>
      <c r="M8" s="2"/>
      <c r="N8" s="2">
        <v>1282182</v>
      </c>
    </row>
    <row r="9" spans="1:14" x14ac:dyDescent="0.25">
      <c r="A9" t="s">
        <v>2</v>
      </c>
      <c r="B9" t="s">
        <v>12</v>
      </c>
      <c r="C9" s="2">
        <v>413182</v>
      </c>
      <c r="D9" s="2">
        <v>212084</v>
      </c>
      <c r="E9" s="2"/>
      <c r="F9" s="2"/>
      <c r="G9" s="2"/>
      <c r="H9" s="2"/>
      <c r="I9" s="2"/>
      <c r="J9" s="2"/>
      <c r="K9" s="2"/>
      <c r="L9" s="2"/>
      <c r="M9" s="2"/>
      <c r="N9" s="2">
        <v>625266</v>
      </c>
    </row>
    <row r="10" spans="1:14" x14ac:dyDescent="0.25">
      <c r="B10" t="s">
        <v>14</v>
      </c>
      <c r="C10" s="2">
        <v>30398</v>
      </c>
      <c r="D10" s="2">
        <v>306514</v>
      </c>
      <c r="E10" s="2"/>
      <c r="F10" s="2"/>
      <c r="G10" s="2"/>
      <c r="H10" s="2"/>
      <c r="I10" s="2"/>
      <c r="J10" s="2"/>
      <c r="K10" s="2"/>
      <c r="L10" s="2"/>
      <c r="M10" s="2"/>
      <c r="N10" s="2">
        <v>336912</v>
      </c>
    </row>
    <row r="11" spans="1:14" x14ac:dyDescent="0.25">
      <c r="A11" t="s">
        <v>3</v>
      </c>
      <c r="B11" t="s">
        <v>12</v>
      </c>
      <c r="C11" s="2">
        <v>285884</v>
      </c>
      <c r="D11" s="2">
        <v>334874</v>
      </c>
      <c r="E11" s="2"/>
      <c r="F11" s="2"/>
      <c r="G11" s="2"/>
      <c r="H11" s="2"/>
      <c r="I11" s="2"/>
      <c r="J11" s="2"/>
      <c r="K11" s="2"/>
      <c r="L11" s="2"/>
      <c r="M11" s="2"/>
      <c r="N11" s="2">
        <v>620758</v>
      </c>
    </row>
    <row r="12" spans="1:14" x14ac:dyDescent="0.25">
      <c r="B12" t="s">
        <v>13</v>
      </c>
      <c r="C12" s="2"/>
      <c r="D12" s="2">
        <v>210296</v>
      </c>
      <c r="E12" s="2"/>
      <c r="F12" s="2"/>
      <c r="G12" s="2"/>
      <c r="H12" s="2"/>
      <c r="I12" s="2"/>
      <c r="J12" s="2"/>
      <c r="K12" s="2"/>
      <c r="L12" s="2"/>
      <c r="M12" s="2"/>
      <c r="N12" s="2">
        <v>210296</v>
      </c>
    </row>
    <row r="13" spans="1:14" x14ac:dyDescent="0.25">
      <c r="A13" t="s">
        <v>4</v>
      </c>
      <c r="B13" t="s">
        <v>12</v>
      </c>
      <c r="C13" s="2"/>
      <c r="D13" s="2">
        <v>81057</v>
      </c>
      <c r="E13" s="2">
        <v>76220</v>
      </c>
      <c r="F13" s="2"/>
      <c r="G13" s="2"/>
      <c r="H13" s="2"/>
      <c r="I13" s="2"/>
      <c r="J13" s="2"/>
      <c r="K13" s="2"/>
      <c r="L13" s="2"/>
      <c r="M13" s="2"/>
      <c r="N13" s="2">
        <v>157277</v>
      </c>
    </row>
    <row r="14" spans="1:14" x14ac:dyDescent="0.25">
      <c r="A14" t="s">
        <v>5</v>
      </c>
      <c r="B14" t="s">
        <v>12</v>
      </c>
      <c r="C14" s="2"/>
      <c r="D14" s="2"/>
      <c r="E14" s="2"/>
      <c r="F14" s="2"/>
      <c r="G14" s="2">
        <v>1553492.7324634236</v>
      </c>
      <c r="H14" s="2"/>
      <c r="I14" s="2"/>
      <c r="J14" s="2"/>
      <c r="K14" s="2"/>
      <c r="L14" s="2"/>
      <c r="M14" s="2"/>
      <c r="N14" s="2">
        <v>1553492.7324634236</v>
      </c>
    </row>
    <row r="15" spans="1:14" x14ac:dyDescent="0.25">
      <c r="B15" t="s">
        <v>15</v>
      </c>
      <c r="C15" s="2"/>
      <c r="D15" s="2"/>
      <c r="E15" s="2"/>
      <c r="F15" s="2"/>
      <c r="G15" s="2">
        <v>1140000</v>
      </c>
      <c r="H15" s="2">
        <v>600000</v>
      </c>
      <c r="I15" s="2"/>
      <c r="J15" s="2"/>
      <c r="K15" s="2"/>
      <c r="L15" s="2"/>
      <c r="M15" s="2"/>
      <c r="N15" s="2">
        <v>1740000</v>
      </c>
    </row>
    <row r="16" spans="1:14" x14ac:dyDescent="0.25">
      <c r="B16" t="s">
        <v>13</v>
      </c>
      <c r="C16" s="2"/>
      <c r="D16" s="2"/>
      <c r="E16" s="2"/>
      <c r="F16" s="2"/>
      <c r="G16" s="2">
        <v>1542359.6383357034</v>
      </c>
      <c r="H16" s="2">
        <v>8819495.684327526</v>
      </c>
      <c r="I16" s="2">
        <v>528030.29084355419</v>
      </c>
      <c r="J16" s="2"/>
      <c r="K16" s="2"/>
      <c r="L16" s="2"/>
      <c r="M16" s="2"/>
      <c r="N16" s="2">
        <v>10889885.613506783</v>
      </c>
    </row>
    <row r="17" spans="1:14" x14ac:dyDescent="0.25">
      <c r="A17" t="s">
        <v>6</v>
      </c>
      <c r="B17" t="s">
        <v>16</v>
      </c>
      <c r="C17" s="2"/>
      <c r="D17" s="2"/>
      <c r="E17" s="2"/>
      <c r="F17" s="2"/>
      <c r="G17" s="2"/>
      <c r="H17" s="2"/>
      <c r="I17" s="2">
        <v>822150</v>
      </c>
      <c r="J17" s="2">
        <v>1840475.5255</v>
      </c>
      <c r="K17" s="2">
        <v>731715.45014000009</v>
      </c>
      <c r="L17" s="2">
        <v>846663.68000000005</v>
      </c>
      <c r="M17" s="2">
        <v>619626.163328</v>
      </c>
      <c r="N17" s="2">
        <v>4860630.8189679999</v>
      </c>
    </row>
    <row r="18" spans="1:14" x14ac:dyDescent="0.25">
      <c r="A18" t="s">
        <v>7</v>
      </c>
      <c r="B18" t="s">
        <v>12</v>
      </c>
      <c r="C18" s="2"/>
      <c r="D18" s="2"/>
      <c r="E18" s="2"/>
      <c r="F18" s="2"/>
      <c r="G18" s="2"/>
      <c r="H18" s="2"/>
      <c r="I18" s="2"/>
      <c r="J18" s="2"/>
      <c r="K18" s="2">
        <v>3620833.3333333335</v>
      </c>
      <c r="L18" s="2">
        <v>3779166.6666666726</v>
      </c>
      <c r="M18" s="2"/>
      <c r="N18" s="2">
        <v>7399999.9999999981</v>
      </c>
    </row>
    <row r="19" spans="1:14" x14ac:dyDescent="0.25">
      <c r="B19" t="s">
        <v>17</v>
      </c>
      <c r="C19" s="2"/>
      <c r="D19" s="2"/>
      <c r="E19" s="2"/>
      <c r="F19" s="2"/>
      <c r="G19" s="2"/>
      <c r="H19" s="2"/>
      <c r="I19" s="2"/>
      <c r="J19" s="2"/>
      <c r="K19" s="2">
        <v>128100</v>
      </c>
      <c r="L19" s="2">
        <v>983138</v>
      </c>
      <c r="M19" s="2">
        <v>1158504</v>
      </c>
      <c r="N19" s="2">
        <v>2269742</v>
      </c>
    </row>
    <row r="20" spans="1:14" x14ac:dyDescent="0.25">
      <c r="A20" t="s">
        <v>8</v>
      </c>
      <c r="B20" t="s">
        <v>12</v>
      </c>
      <c r="C20" s="2"/>
      <c r="D20" s="2"/>
      <c r="E20" s="2"/>
      <c r="F20" s="2"/>
      <c r="G20" s="2"/>
      <c r="H20" s="2"/>
      <c r="I20" s="2"/>
      <c r="J20" s="2">
        <v>20833.333333333332</v>
      </c>
      <c r="K20" s="2">
        <v>229166.66666666674</v>
      </c>
      <c r="L20" s="2"/>
      <c r="M20" s="2"/>
      <c r="N20" s="2">
        <v>250000.00000000006</v>
      </c>
    </row>
    <row r="21" spans="1:14" x14ac:dyDescent="0.25">
      <c r="A21" t="s">
        <v>9</v>
      </c>
      <c r="B21" t="s">
        <v>12</v>
      </c>
      <c r="C21" s="2">
        <v>5998368</v>
      </c>
      <c r="D21" s="2">
        <v>9195540</v>
      </c>
      <c r="E21" s="2">
        <v>5427416</v>
      </c>
      <c r="F21" s="2">
        <v>729638.4604502602</v>
      </c>
      <c r="G21" s="2"/>
      <c r="H21" s="2"/>
      <c r="I21" s="2"/>
      <c r="J21" s="2"/>
      <c r="K21" s="2"/>
      <c r="L21" s="2"/>
      <c r="M21" s="2"/>
      <c r="N21" s="2">
        <v>21350962.460450258</v>
      </c>
    </row>
    <row r="22" spans="1:14" x14ac:dyDescent="0.25">
      <c r="B22" t="s">
        <v>18</v>
      </c>
      <c r="C22" s="2"/>
      <c r="D22" s="2">
        <v>605960</v>
      </c>
      <c r="E22" s="2"/>
      <c r="F22" s="2"/>
      <c r="G22" s="2"/>
      <c r="H22" s="2"/>
      <c r="I22" s="2"/>
      <c r="J22" s="2"/>
      <c r="K22" s="2"/>
      <c r="L22" s="2"/>
      <c r="M22" s="2"/>
      <c r="N22" s="2">
        <v>605960</v>
      </c>
    </row>
    <row r="23" spans="1:14" x14ac:dyDescent="0.25">
      <c r="B23" t="s">
        <v>19</v>
      </c>
      <c r="C23" s="2"/>
      <c r="D23" s="2">
        <v>84876</v>
      </c>
      <c r="E23" s="2"/>
      <c r="F23" s="2"/>
      <c r="G23" s="2"/>
      <c r="H23" s="2"/>
      <c r="I23" s="2"/>
      <c r="J23" s="2"/>
      <c r="K23" s="2"/>
      <c r="L23" s="2"/>
      <c r="M23" s="2"/>
      <c r="N23" s="2">
        <v>84876</v>
      </c>
    </row>
    <row r="24" spans="1:14" x14ac:dyDescent="0.25">
      <c r="B24" t="s">
        <v>13</v>
      </c>
      <c r="C24" s="2"/>
      <c r="D24" s="2">
        <v>1602604</v>
      </c>
      <c r="E24" s="2">
        <v>1692460</v>
      </c>
      <c r="F24" s="2">
        <v>465600</v>
      </c>
      <c r="G24" s="2"/>
      <c r="H24" s="2"/>
      <c r="I24" s="2"/>
      <c r="J24" s="2"/>
      <c r="K24" s="2"/>
      <c r="L24" s="2"/>
      <c r="M24" s="2"/>
      <c r="N24" s="2">
        <v>3760664</v>
      </c>
    </row>
    <row r="25" spans="1:14" x14ac:dyDescent="0.25">
      <c r="A25" t="s">
        <v>10</v>
      </c>
      <c r="B25" t="s">
        <v>12</v>
      </c>
      <c r="C25" s="2"/>
      <c r="D25" s="2"/>
      <c r="E25" s="2">
        <v>1923414.5825136816</v>
      </c>
      <c r="F25" s="2">
        <v>626722.77477287059</v>
      </c>
      <c r="G25" s="2"/>
      <c r="H25" s="2"/>
      <c r="I25" s="2"/>
      <c r="J25" s="2"/>
      <c r="K25" s="2"/>
      <c r="L25" s="2"/>
      <c r="M25" s="2"/>
      <c r="N25" s="2">
        <v>2550137.357286551</v>
      </c>
    </row>
    <row r="26" spans="1:14" x14ac:dyDescent="0.25">
      <c r="B26" t="s">
        <v>13</v>
      </c>
      <c r="C26" s="2"/>
      <c r="D26" s="2"/>
      <c r="E26" s="2">
        <v>115552</v>
      </c>
      <c r="F26" s="2"/>
      <c r="G26" s="2"/>
      <c r="H26" s="2"/>
      <c r="I26" s="2"/>
      <c r="J26" s="2"/>
      <c r="K26" s="2"/>
      <c r="L26" s="2"/>
      <c r="M26" s="2"/>
      <c r="N26" s="2">
        <v>115552</v>
      </c>
    </row>
    <row r="27" spans="1:14" x14ac:dyDescent="0.25">
      <c r="A27" t="s">
        <v>11</v>
      </c>
      <c r="C27" s="2">
        <v>6727832</v>
      </c>
      <c r="D27" s="2">
        <v>13168595</v>
      </c>
      <c r="E27" s="2">
        <v>10439221.032312877</v>
      </c>
      <c r="F27" s="2">
        <v>3136564.5415642606</v>
      </c>
      <c r="G27" s="2">
        <v>4235852.3707991261</v>
      </c>
      <c r="H27" s="2">
        <v>9425118.1742873657</v>
      </c>
      <c r="I27" s="2">
        <v>1350180.2908435541</v>
      </c>
      <c r="J27" s="2">
        <v>1861308.8588333335</v>
      </c>
      <c r="K27" s="2">
        <v>4709815.4501400003</v>
      </c>
      <c r="L27" s="2">
        <v>5608968.3466666732</v>
      </c>
      <c r="M27" s="2">
        <v>1778130.1633279999</v>
      </c>
      <c r="N27" s="2">
        <v>62441586.228775121</v>
      </c>
    </row>
    <row r="28" spans="1:14" x14ac:dyDescent="0.2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2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25">
      <c r="B30" s="3" t="s">
        <v>24</v>
      </c>
      <c r="C30" s="3" t="s">
        <v>25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25">
      <c r="B31" s="3" t="s">
        <v>26</v>
      </c>
      <c r="C31" s="4">
        <v>46007</v>
      </c>
    </row>
    <row r="32" spans="1:14" x14ac:dyDescent="0.25">
      <c r="B32" s="5" t="s">
        <v>28</v>
      </c>
      <c r="C32" s="6"/>
    </row>
    <row r="33" spans="1:14" x14ac:dyDescent="0.25">
      <c r="A33" s="1" t="s">
        <v>23</v>
      </c>
      <c r="C33" s="1" t="s">
        <v>22</v>
      </c>
    </row>
    <row r="34" spans="1:14" x14ac:dyDescent="0.25">
      <c r="A34" s="1" t="s">
        <v>0</v>
      </c>
      <c r="B34" s="1" t="s">
        <v>21</v>
      </c>
      <c r="C34">
        <v>11</v>
      </c>
      <c r="D34">
        <v>12</v>
      </c>
      <c r="E34">
        <v>1</v>
      </c>
      <c r="F34">
        <v>2</v>
      </c>
      <c r="G34">
        <v>3</v>
      </c>
      <c r="H34">
        <v>4</v>
      </c>
      <c r="I34">
        <v>5</v>
      </c>
      <c r="J34">
        <v>6</v>
      </c>
      <c r="K34">
        <v>7</v>
      </c>
      <c r="L34">
        <v>8</v>
      </c>
      <c r="M34">
        <v>9</v>
      </c>
      <c r="N34" t="s">
        <v>11</v>
      </c>
    </row>
    <row r="35" spans="1:14" x14ac:dyDescent="0.25">
      <c r="A35" t="s">
        <v>1</v>
      </c>
      <c r="B35" t="s">
        <v>12</v>
      </c>
      <c r="C35" s="2"/>
      <c r="D35" s="2">
        <v>427832.00000000006</v>
      </c>
      <c r="E35" s="2">
        <v>392621.15983935742</v>
      </c>
      <c r="F35" s="2">
        <v>596642.6450729036</v>
      </c>
      <c r="G35" s="2"/>
      <c r="H35" s="2">
        <v>4497.9919678714859</v>
      </c>
      <c r="I35" s="2"/>
      <c r="J35" s="2"/>
      <c r="K35" s="2"/>
      <c r="L35" s="2"/>
      <c r="M35" s="2"/>
      <c r="N35" s="2">
        <v>1421593.7968801321</v>
      </c>
    </row>
    <row r="36" spans="1:14" x14ac:dyDescent="0.25">
      <c r="B36" t="s">
        <v>13</v>
      </c>
      <c r="C36" s="2"/>
      <c r="D36" s="2"/>
      <c r="E36" s="2">
        <v>570705.6</v>
      </c>
      <c r="F36" s="2">
        <v>455040</v>
      </c>
      <c r="G36" s="2"/>
      <c r="H36" s="2"/>
      <c r="I36" s="2"/>
      <c r="J36" s="2"/>
      <c r="K36" s="2"/>
      <c r="L36" s="2"/>
      <c r="M36" s="2"/>
      <c r="N36" s="2">
        <v>1025745.6</v>
      </c>
    </row>
    <row r="37" spans="1:14" x14ac:dyDescent="0.25">
      <c r="A37" t="s">
        <v>2</v>
      </c>
      <c r="B37" t="s">
        <v>12</v>
      </c>
      <c r="C37" s="2">
        <v>330545.60000000003</v>
      </c>
      <c r="D37" s="2">
        <v>169667.20000000001</v>
      </c>
      <c r="E37" s="2"/>
      <c r="F37" s="2"/>
      <c r="G37" s="2"/>
      <c r="H37" s="2"/>
      <c r="I37" s="2"/>
      <c r="J37" s="2"/>
      <c r="K37" s="2"/>
      <c r="L37" s="2"/>
      <c r="M37" s="2"/>
      <c r="N37" s="2">
        <v>500212.80000000005</v>
      </c>
    </row>
    <row r="38" spans="1:14" x14ac:dyDescent="0.25">
      <c r="B38" t="s">
        <v>14</v>
      </c>
      <c r="C38" s="2">
        <v>24318.400000000001</v>
      </c>
      <c r="D38" s="2">
        <v>245211.2</v>
      </c>
      <c r="E38" s="2"/>
      <c r="F38" s="2"/>
      <c r="G38" s="2"/>
      <c r="H38" s="2"/>
      <c r="I38" s="2"/>
      <c r="J38" s="2"/>
      <c r="K38" s="2"/>
      <c r="L38" s="2"/>
      <c r="M38" s="2"/>
      <c r="N38" s="2">
        <v>269529.59999999998</v>
      </c>
    </row>
    <row r="39" spans="1:14" x14ac:dyDescent="0.25">
      <c r="A39" t="s">
        <v>3</v>
      </c>
      <c r="B39" t="s">
        <v>12</v>
      </c>
      <c r="C39" s="2">
        <v>228707.20000000001</v>
      </c>
      <c r="D39" s="2">
        <v>267899.2</v>
      </c>
      <c r="E39" s="2"/>
      <c r="F39" s="2"/>
      <c r="G39" s="2"/>
      <c r="H39" s="2"/>
      <c r="I39" s="2"/>
      <c r="J39" s="2"/>
      <c r="K39" s="2"/>
      <c r="L39" s="2"/>
      <c r="M39" s="2"/>
      <c r="N39" s="2">
        <v>496606.4</v>
      </c>
    </row>
    <row r="40" spans="1:14" x14ac:dyDescent="0.25">
      <c r="B40" t="s">
        <v>13</v>
      </c>
      <c r="C40" s="2"/>
      <c r="D40" s="2">
        <v>168236.79999999999</v>
      </c>
      <c r="E40" s="2"/>
      <c r="F40" s="2"/>
      <c r="G40" s="2"/>
      <c r="H40" s="2"/>
      <c r="I40" s="2"/>
      <c r="J40" s="2"/>
      <c r="K40" s="2"/>
      <c r="L40" s="2"/>
      <c r="M40" s="2"/>
      <c r="N40" s="2">
        <v>168236.79999999999</v>
      </c>
    </row>
    <row r="41" spans="1:14" x14ac:dyDescent="0.25">
      <c r="A41" t="s">
        <v>4</v>
      </c>
      <c r="B41" t="s">
        <v>12</v>
      </c>
      <c r="C41" s="2"/>
      <c r="D41" s="2">
        <v>64845.600000000006</v>
      </c>
      <c r="E41" s="2">
        <v>60976</v>
      </c>
      <c r="F41" s="2"/>
      <c r="G41" s="2"/>
      <c r="H41" s="2"/>
      <c r="I41" s="2"/>
      <c r="J41" s="2"/>
      <c r="K41" s="2"/>
      <c r="L41" s="2"/>
      <c r="M41" s="2"/>
      <c r="N41" s="2">
        <v>125821.6</v>
      </c>
    </row>
    <row r="42" spans="1:14" x14ac:dyDescent="0.25">
      <c r="A42" t="s">
        <v>5</v>
      </c>
      <c r="B42" t="s">
        <v>12</v>
      </c>
      <c r="C42" s="2"/>
      <c r="D42" s="2"/>
      <c r="E42" s="2"/>
      <c r="F42" s="2"/>
      <c r="G42" s="2">
        <v>1242794.1859707388</v>
      </c>
      <c r="H42" s="2"/>
      <c r="I42" s="2"/>
      <c r="J42" s="2"/>
      <c r="K42" s="2"/>
      <c r="L42" s="2"/>
      <c r="M42" s="2"/>
      <c r="N42" s="2">
        <v>1242794.1859707388</v>
      </c>
    </row>
    <row r="43" spans="1:14" x14ac:dyDescent="0.25">
      <c r="B43" t="s">
        <v>15</v>
      </c>
      <c r="C43" s="2"/>
      <c r="D43" s="2"/>
      <c r="E43" s="2"/>
      <c r="F43" s="2"/>
      <c r="G43" s="2">
        <v>912000</v>
      </c>
      <c r="H43" s="2">
        <v>480000</v>
      </c>
      <c r="I43" s="2"/>
      <c r="J43" s="2"/>
      <c r="K43" s="2"/>
      <c r="L43" s="2"/>
      <c r="M43" s="2"/>
      <c r="N43" s="2">
        <v>1392000</v>
      </c>
    </row>
    <row r="44" spans="1:14" x14ac:dyDescent="0.25">
      <c r="B44" t="s">
        <v>13</v>
      </c>
      <c r="C44" s="2"/>
      <c r="D44" s="2"/>
      <c r="E44" s="2"/>
      <c r="F44" s="2"/>
      <c r="G44" s="2">
        <v>1233887.7106685629</v>
      </c>
      <c r="H44" s="2">
        <v>7055596.5474620247</v>
      </c>
      <c r="I44" s="2">
        <v>422424.23267484328</v>
      </c>
      <c r="J44" s="2"/>
      <c r="K44" s="2"/>
      <c r="L44" s="2"/>
      <c r="M44" s="2"/>
      <c r="N44" s="2">
        <v>8711908.4908054322</v>
      </c>
    </row>
    <row r="45" spans="1:14" x14ac:dyDescent="0.25">
      <c r="A45" t="s">
        <v>6</v>
      </c>
      <c r="B45" t="s">
        <v>16</v>
      </c>
      <c r="C45" s="2"/>
      <c r="D45" s="2"/>
      <c r="E45" s="2"/>
      <c r="F45" s="2"/>
      <c r="G45" s="2"/>
      <c r="H45" s="2"/>
      <c r="I45" s="2">
        <v>657720</v>
      </c>
      <c r="J45" s="2">
        <v>1472380.4203999999</v>
      </c>
      <c r="K45" s="2">
        <v>585372.36011200002</v>
      </c>
      <c r="L45" s="2">
        <v>677330.9439999999</v>
      </c>
      <c r="M45" s="2">
        <v>495700.93066240009</v>
      </c>
      <c r="N45" s="2">
        <v>3888504.6551743997</v>
      </c>
    </row>
    <row r="46" spans="1:14" x14ac:dyDescent="0.25">
      <c r="A46" t="s">
        <v>7</v>
      </c>
      <c r="B46" t="s">
        <v>12</v>
      </c>
      <c r="C46" s="2"/>
      <c r="D46" s="2"/>
      <c r="E46" s="2"/>
      <c r="F46" s="2"/>
      <c r="G46" s="2"/>
      <c r="H46" s="2"/>
      <c r="I46" s="2"/>
      <c r="J46" s="2"/>
      <c r="K46" s="2">
        <v>2896666.6666666656</v>
      </c>
      <c r="L46" s="2">
        <v>3023333.3333333302</v>
      </c>
      <c r="M46" s="2"/>
      <c r="N46" s="2">
        <v>5919999.9999999925</v>
      </c>
    </row>
    <row r="47" spans="1:14" x14ac:dyDescent="0.25">
      <c r="B47" t="s">
        <v>17</v>
      </c>
      <c r="C47" s="2"/>
      <c r="D47" s="2"/>
      <c r="E47" s="2"/>
      <c r="F47" s="2"/>
      <c r="G47" s="2"/>
      <c r="H47" s="2"/>
      <c r="I47" s="2"/>
      <c r="J47" s="2"/>
      <c r="K47" s="2">
        <v>102480</v>
      </c>
      <c r="L47" s="2">
        <v>786510.4</v>
      </c>
      <c r="M47" s="2">
        <v>926803.2</v>
      </c>
      <c r="N47" s="2">
        <v>1815793.5999999999</v>
      </c>
    </row>
    <row r="48" spans="1:14" x14ac:dyDescent="0.25">
      <c r="A48" t="s">
        <v>8</v>
      </c>
      <c r="B48" t="s">
        <v>12</v>
      </c>
      <c r="C48" s="2"/>
      <c r="D48" s="2"/>
      <c r="E48" s="2"/>
      <c r="F48" s="2"/>
      <c r="G48" s="2"/>
      <c r="H48" s="2"/>
      <c r="I48" s="2"/>
      <c r="J48" s="2">
        <v>16666.666666666668</v>
      </c>
      <c r="K48" s="2">
        <v>183333.33333333334</v>
      </c>
      <c r="L48" s="2"/>
      <c r="M48" s="2"/>
      <c r="N48" s="2">
        <v>200000</v>
      </c>
    </row>
    <row r="49" spans="1:14" x14ac:dyDescent="0.25">
      <c r="A49" t="s">
        <v>9</v>
      </c>
      <c r="B49" t="s">
        <v>12</v>
      </c>
      <c r="C49" s="2">
        <v>4798694.4000000004</v>
      </c>
      <c r="D49" s="2">
        <v>7356432.0000000009</v>
      </c>
      <c r="E49" s="2">
        <v>4341932.8000000007</v>
      </c>
      <c r="F49" s="2">
        <v>583710.76836020849</v>
      </c>
      <c r="G49" s="2"/>
      <c r="H49" s="2"/>
      <c r="I49" s="2"/>
      <c r="J49" s="2"/>
      <c r="K49" s="2"/>
      <c r="L49" s="2"/>
      <c r="M49" s="2"/>
      <c r="N49" s="2">
        <v>17080769.968360197</v>
      </c>
    </row>
    <row r="50" spans="1:14" x14ac:dyDescent="0.25">
      <c r="B50" t="s">
        <v>18</v>
      </c>
      <c r="C50" s="2"/>
      <c r="D50" s="2">
        <v>484768</v>
      </c>
      <c r="E50" s="2"/>
      <c r="F50" s="2"/>
      <c r="G50" s="2"/>
      <c r="H50" s="2"/>
      <c r="I50" s="2"/>
      <c r="J50" s="2"/>
      <c r="K50" s="2"/>
      <c r="L50" s="2"/>
      <c r="M50" s="2"/>
      <c r="N50" s="2">
        <v>484768</v>
      </c>
    </row>
    <row r="51" spans="1:14" x14ac:dyDescent="0.25">
      <c r="B51" t="s">
        <v>19</v>
      </c>
      <c r="C51" s="2"/>
      <c r="D51" s="2">
        <v>67900.800000000003</v>
      </c>
      <c r="E51" s="2"/>
      <c r="F51" s="2"/>
      <c r="G51" s="2"/>
      <c r="H51" s="2"/>
      <c r="I51" s="2"/>
      <c r="J51" s="2"/>
      <c r="K51" s="2"/>
      <c r="L51" s="2"/>
      <c r="M51" s="2"/>
      <c r="N51" s="2">
        <v>67900.800000000003</v>
      </c>
    </row>
    <row r="52" spans="1:14" x14ac:dyDescent="0.25">
      <c r="B52" t="s">
        <v>13</v>
      </c>
      <c r="C52" s="2"/>
      <c r="D52" s="2">
        <v>1282083.2</v>
      </c>
      <c r="E52" s="2">
        <v>1353968</v>
      </c>
      <c r="F52" s="2">
        <v>372480</v>
      </c>
      <c r="G52" s="2"/>
      <c r="H52" s="2"/>
      <c r="I52" s="2"/>
      <c r="J52" s="2"/>
      <c r="K52" s="2"/>
      <c r="L52" s="2"/>
      <c r="M52" s="2"/>
      <c r="N52" s="2">
        <v>3008531.1999999983</v>
      </c>
    </row>
    <row r="53" spans="1:14" x14ac:dyDescent="0.25">
      <c r="A53" t="s">
        <v>10</v>
      </c>
      <c r="B53" t="s">
        <v>12</v>
      </c>
      <c r="C53" s="2"/>
      <c r="D53" s="2"/>
      <c r="E53" s="2">
        <v>1538731.6660109451</v>
      </c>
      <c r="F53" s="2">
        <v>501378.21981829678</v>
      </c>
      <c r="G53" s="2"/>
      <c r="H53" s="2"/>
      <c r="I53" s="2"/>
      <c r="J53" s="2"/>
      <c r="K53" s="2"/>
      <c r="L53" s="2"/>
      <c r="M53" s="2"/>
      <c r="N53" s="2">
        <v>2040109.8858292429</v>
      </c>
    </row>
    <row r="54" spans="1:14" x14ac:dyDescent="0.25">
      <c r="B54" t="s">
        <v>13</v>
      </c>
      <c r="C54" s="2"/>
      <c r="D54" s="2"/>
      <c r="E54" s="2">
        <v>92441.600000000006</v>
      </c>
      <c r="F54" s="2"/>
      <c r="G54" s="2"/>
      <c r="H54" s="2"/>
      <c r="I54" s="2"/>
      <c r="J54" s="2"/>
      <c r="K54" s="2"/>
      <c r="L54" s="2"/>
      <c r="M54" s="2"/>
      <c r="N54" s="2">
        <v>92441.600000000006</v>
      </c>
    </row>
    <row r="55" spans="1:14" x14ac:dyDescent="0.25">
      <c r="A55" t="s">
        <v>11</v>
      </c>
      <c r="C55" s="2">
        <v>5382265.6000000015</v>
      </c>
      <c r="D55" s="2">
        <v>10534876.000000004</v>
      </c>
      <c r="E55" s="2">
        <v>8351376.825850307</v>
      </c>
      <c r="F55" s="2">
        <v>2509251.6332514067</v>
      </c>
      <c r="G55" s="2">
        <v>3388681.8966393014</v>
      </c>
      <c r="H55" s="2">
        <v>7540094.5394298965</v>
      </c>
      <c r="I55" s="2">
        <v>1080144.2326748434</v>
      </c>
      <c r="J55" s="2">
        <v>1489047.0870666667</v>
      </c>
      <c r="K55" s="2">
        <v>3767852.3601119989</v>
      </c>
      <c r="L55" s="2">
        <v>4487174.6773333307</v>
      </c>
      <c r="M55" s="2">
        <v>1422504.1306623998</v>
      </c>
      <c r="N55" s="2">
        <v>49953268.983020261</v>
      </c>
    </row>
  </sheetData>
  <mergeCells count="2">
    <mergeCell ref="B4:C4"/>
    <mergeCell ref="B32:C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BE6E3-1CE3-4A5E-B7F0-CF7296B7F0B7}">
  <dimension ref="A1:N80"/>
  <sheetViews>
    <sheetView showGridLines="0" tabSelected="1" zoomScale="85" zoomScaleNormal="85" workbookViewId="0">
      <selection activeCell="D6" sqref="D6"/>
    </sheetView>
  </sheetViews>
  <sheetFormatPr baseColWidth="10" defaultRowHeight="15" x14ac:dyDescent="0.25"/>
  <cols>
    <col min="1" max="1" width="20.28515625" bestFit="1" customWidth="1"/>
    <col min="2" max="2" width="14.140625" bestFit="1" customWidth="1"/>
    <col min="3" max="5" width="11.7109375" bestFit="1" customWidth="1"/>
    <col min="6" max="7" width="10.28515625" bestFit="1" customWidth="1"/>
    <col min="8" max="8" width="11.7109375" bestFit="1" customWidth="1"/>
    <col min="9" max="11" width="10.28515625" bestFit="1" customWidth="1"/>
    <col min="12" max="12" width="11.7109375" bestFit="1" customWidth="1"/>
    <col min="13" max="13" width="10.28515625" bestFit="1" customWidth="1"/>
    <col min="14" max="14" width="12.5703125" bestFit="1" customWidth="1"/>
  </cols>
  <sheetData>
    <row r="1" spans="1:14" x14ac:dyDescent="0.25">
      <c r="E1" s="3" t="s">
        <v>24</v>
      </c>
      <c r="F1" s="3" t="s">
        <v>25</v>
      </c>
    </row>
    <row r="2" spans="1:14" x14ac:dyDescent="0.25">
      <c r="E2" s="3" t="s">
        <v>26</v>
      </c>
      <c r="F2" s="4">
        <v>46007</v>
      </c>
    </row>
    <row r="3" spans="1:14" x14ac:dyDescent="0.25">
      <c r="E3" s="5" t="s">
        <v>30</v>
      </c>
      <c r="F3" s="6"/>
    </row>
    <row r="4" spans="1:14" x14ac:dyDescent="0.25">
      <c r="A4" s="1" t="s">
        <v>29</v>
      </c>
      <c r="C4" s="1" t="s">
        <v>22</v>
      </c>
    </row>
    <row r="5" spans="1:14" x14ac:dyDescent="0.25">
      <c r="A5" s="1" t="s">
        <v>0</v>
      </c>
      <c r="B5" s="1" t="s">
        <v>21</v>
      </c>
      <c r="C5">
        <v>11</v>
      </c>
      <c r="D5">
        <v>12</v>
      </c>
      <c r="E5">
        <v>1</v>
      </c>
      <c r="F5">
        <v>2</v>
      </c>
      <c r="G5">
        <v>3</v>
      </c>
      <c r="H5">
        <v>4</v>
      </c>
      <c r="I5">
        <v>5</v>
      </c>
      <c r="J5">
        <v>6</v>
      </c>
      <c r="K5">
        <v>7</v>
      </c>
      <c r="L5">
        <v>8</v>
      </c>
      <c r="M5">
        <v>9</v>
      </c>
      <c r="N5" t="s">
        <v>11</v>
      </c>
    </row>
    <row r="6" spans="1:14" x14ac:dyDescent="0.25">
      <c r="A6" t="s">
        <v>1</v>
      </c>
      <c r="B6" t="s">
        <v>12</v>
      </c>
      <c r="C6" s="7"/>
      <c r="D6" s="7">
        <v>99337.242500000008</v>
      </c>
      <c r="E6" s="7">
        <v>91161.725550200805</v>
      </c>
      <c r="F6" s="7">
        <v>138532.96415286476</v>
      </c>
      <c r="G6" s="7"/>
      <c r="H6" s="7">
        <v>1044.3775100401606</v>
      </c>
      <c r="I6" s="7"/>
      <c r="J6" s="7"/>
      <c r="K6" s="7"/>
      <c r="L6" s="7"/>
      <c r="M6" s="7"/>
      <c r="N6" s="7">
        <v>330076.30971310579</v>
      </c>
    </row>
    <row r="7" spans="1:14" x14ac:dyDescent="0.25">
      <c r="B7" t="s">
        <v>13</v>
      </c>
      <c r="C7" s="7"/>
      <c r="D7" s="7"/>
      <c r="E7" s="7">
        <v>132510.7065</v>
      </c>
      <c r="F7" s="7">
        <v>105654.6</v>
      </c>
      <c r="G7" s="7"/>
      <c r="H7" s="7"/>
      <c r="I7" s="7"/>
      <c r="J7" s="7"/>
      <c r="K7" s="7"/>
      <c r="L7" s="7"/>
      <c r="M7" s="7"/>
      <c r="N7" s="7">
        <v>238165.30650000004</v>
      </c>
    </row>
    <row r="8" spans="1:14" x14ac:dyDescent="0.25">
      <c r="A8" t="s">
        <v>2</v>
      </c>
      <c r="B8" t="s">
        <v>12</v>
      </c>
      <c r="C8" s="7">
        <v>155356.432</v>
      </c>
      <c r="D8" s="7">
        <v>79743.584000000003</v>
      </c>
      <c r="E8" s="7"/>
      <c r="F8" s="7"/>
      <c r="G8" s="7"/>
      <c r="H8" s="7"/>
      <c r="I8" s="7"/>
      <c r="J8" s="7"/>
      <c r="K8" s="7"/>
      <c r="L8" s="7"/>
      <c r="M8" s="7"/>
      <c r="N8" s="7">
        <v>235100.016</v>
      </c>
    </row>
    <row r="9" spans="1:14" x14ac:dyDescent="0.25">
      <c r="B9" t="s">
        <v>14</v>
      </c>
      <c r="C9" s="7">
        <v>11429.648000000001</v>
      </c>
      <c r="D9" s="7">
        <v>115249.264</v>
      </c>
      <c r="E9" s="7"/>
      <c r="F9" s="7"/>
      <c r="G9" s="7"/>
      <c r="H9" s="7"/>
      <c r="I9" s="7"/>
      <c r="J9" s="7"/>
      <c r="K9" s="7"/>
      <c r="L9" s="7"/>
      <c r="M9" s="7"/>
      <c r="N9" s="7">
        <v>126678.912</v>
      </c>
    </row>
    <row r="10" spans="1:14" x14ac:dyDescent="0.25">
      <c r="A10" t="s">
        <v>3</v>
      </c>
      <c r="B10" t="s">
        <v>12</v>
      </c>
      <c r="C10" s="7">
        <v>40152.407800000001</v>
      </c>
      <c r="D10" s="7">
        <v>47033.0533</v>
      </c>
      <c r="E10" s="7"/>
      <c r="F10" s="7"/>
      <c r="G10" s="7"/>
      <c r="H10" s="7"/>
      <c r="I10" s="7"/>
      <c r="J10" s="7"/>
      <c r="K10" s="7"/>
      <c r="L10" s="7"/>
      <c r="M10" s="7"/>
      <c r="N10" s="7">
        <v>87185.4611</v>
      </c>
    </row>
    <row r="11" spans="1:14" x14ac:dyDescent="0.25">
      <c r="B11" t="s">
        <v>13</v>
      </c>
      <c r="C11" s="7"/>
      <c r="D11" s="7">
        <v>29536.073199999999</v>
      </c>
      <c r="E11" s="7"/>
      <c r="F11" s="7"/>
      <c r="G11" s="7"/>
      <c r="H11" s="7"/>
      <c r="I11" s="7"/>
      <c r="J11" s="7"/>
      <c r="K11" s="7"/>
      <c r="L11" s="7"/>
      <c r="M11" s="7"/>
      <c r="N11" s="7">
        <v>29536.073199999999</v>
      </c>
    </row>
    <row r="12" spans="1:14" x14ac:dyDescent="0.25">
      <c r="A12" t="s">
        <v>4</v>
      </c>
      <c r="B12" t="s">
        <v>12</v>
      </c>
      <c r="C12" s="7"/>
      <c r="D12" s="7">
        <v>11907.273300000001</v>
      </c>
      <c r="E12" s="7">
        <v>11196.717999999999</v>
      </c>
      <c r="F12" s="7"/>
      <c r="G12" s="7"/>
      <c r="H12" s="7"/>
      <c r="I12" s="7"/>
      <c r="J12" s="7"/>
      <c r="K12" s="7"/>
      <c r="L12" s="7"/>
      <c r="M12" s="7"/>
      <c r="N12" s="7">
        <v>23103.991299999998</v>
      </c>
    </row>
    <row r="13" spans="1:14" x14ac:dyDescent="0.25">
      <c r="A13" t="s">
        <v>5</v>
      </c>
      <c r="B13" t="s">
        <v>12</v>
      </c>
      <c r="C13" s="7"/>
      <c r="D13" s="7"/>
      <c r="E13" s="7"/>
      <c r="F13" s="7"/>
      <c r="G13" s="7">
        <v>195740.08429039147</v>
      </c>
      <c r="H13" s="7"/>
      <c r="I13" s="7"/>
      <c r="J13" s="7"/>
      <c r="K13" s="7"/>
      <c r="L13" s="7"/>
      <c r="M13" s="7"/>
      <c r="N13" s="7">
        <v>195740.08429039147</v>
      </c>
    </row>
    <row r="14" spans="1:14" x14ac:dyDescent="0.25">
      <c r="B14" t="s">
        <v>15</v>
      </c>
      <c r="C14" s="7"/>
      <c r="D14" s="7"/>
      <c r="E14" s="7"/>
      <c r="F14" s="7"/>
      <c r="G14" s="7">
        <v>143640</v>
      </c>
      <c r="H14" s="7">
        <v>75600</v>
      </c>
      <c r="I14" s="7"/>
      <c r="J14" s="7"/>
      <c r="K14" s="7"/>
      <c r="L14" s="7"/>
      <c r="M14" s="7"/>
      <c r="N14" s="7">
        <v>219240</v>
      </c>
    </row>
    <row r="15" spans="1:14" x14ac:dyDescent="0.25">
      <c r="B15" t="s">
        <v>13</v>
      </c>
      <c r="C15" s="7"/>
      <c r="D15" s="7"/>
      <c r="E15" s="7"/>
      <c r="F15" s="7"/>
      <c r="G15" s="7">
        <v>194337.31443029863</v>
      </c>
      <c r="H15" s="7">
        <v>1111256.4562252683</v>
      </c>
      <c r="I15" s="7">
        <v>66531.816646287829</v>
      </c>
      <c r="J15" s="7"/>
      <c r="K15" s="7"/>
      <c r="L15" s="7"/>
      <c r="M15" s="7"/>
      <c r="N15" s="7">
        <v>1372125.5873018545</v>
      </c>
    </row>
    <row r="16" spans="1:14" x14ac:dyDescent="0.25">
      <c r="A16" t="s">
        <v>6</v>
      </c>
      <c r="B16" t="s">
        <v>16</v>
      </c>
      <c r="C16" s="7"/>
      <c r="D16" s="7"/>
      <c r="E16" s="7"/>
      <c r="F16" s="7"/>
      <c r="G16" s="7"/>
      <c r="H16" s="7"/>
      <c r="I16" s="7">
        <v>149631.29999999999</v>
      </c>
      <c r="J16" s="7">
        <v>334966.54564099998</v>
      </c>
      <c r="K16" s="7">
        <v>133172.21192547999</v>
      </c>
      <c r="L16" s="7">
        <v>154092.78975999999</v>
      </c>
      <c r="M16" s="7">
        <v>112771.96172569599</v>
      </c>
      <c r="N16" s="7">
        <v>884634.80905217596</v>
      </c>
    </row>
    <row r="17" spans="1:14" x14ac:dyDescent="0.25">
      <c r="A17" t="s">
        <v>7</v>
      </c>
      <c r="B17" t="s">
        <v>12</v>
      </c>
      <c r="C17" s="7"/>
      <c r="D17" s="7"/>
      <c r="E17" s="7"/>
      <c r="F17" s="7"/>
      <c r="G17" s="7"/>
      <c r="H17" s="7"/>
      <c r="I17" s="7"/>
      <c r="J17" s="7"/>
      <c r="K17" s="7">
        <v>499856.04166666663</v>
      </c>
      <c r="L17" s="7">
        <v>521713.95833333407</v>
      </c>
      <c r="M17" s="7"/>
      <c r="N17" s="7">
        <v>1021569.9999999991</v>
      </c>
    </row>
    <row r="18" spans="1:14" x14ac:dyDescent="0.25">
      <c r="B18" t="s">
        <v>17</v>
      </c>
      <c r="C18" s="7"/>
      <c r="D18" s="7"/>
      <c r="E18" s="7"/>
      <c r="F18" s="7"/>
      <c r="G18" s="7"/>
      <c r="H18" s="7"/>
      <c r="I18" s="7"/>
      <c r="J18" s="7"/>
      <c r="K18" s="7">
        <v>17684.204999999998</v>
      </c>
      <c r="L18" s="7">
        <v>135722.20089999997</v>
      </c>
      <c r="M18" s="7">
        <v>159931.47719999996</v>
      </c>
      <c r="N18" s="7">
        <v>313337.88309999998</v>
      </c>
    </row>
    <row r="19" spans="1:14" x14ac:dyDescent="0.25">
      <c r="A19" t="s">
        <v>8</v>
      </c>
      <c r="B19" t="s">
        <v>12</v>
      </c>
      <c r="C19" s="7"/>
      <c r="D19" s="7"/>
      <c r="E19" s="7"/>
      <c r="F19" s="7"/>
      <c r="G19" s="7"/>
      <c r="H19" s="7"/>
      <c r="I19" s="7"/>
      <c r="J19" s="7">
        <v>2681.25</v>
      </c>
      <c r="K19" s="7">
        <v>29493.75</v>
      </c>
      <c r="L19" s="7"/>
      <c r="M19" s="7"/>
      <c r="N19" s="7">
        <v>32175</v>
      </c>
    </row>
    <row r="20" spans="1:14" x14ac:dyDescent="0.25">
      <c r="A20" t="s">
        <v>9</v>
      </c>
      <c r="B20" t="s">
        <v>12</v>
      </c>
      <c r="C20" s="7">
        <v>924948.3456</v>
      </c>
      <c r="D20" s="7">
        <v>1417952.2679999997</v>
      </c>
      <c r="E20" s="7">
        <v>836907.54720000003</v>
      </c>
      <c r="F20" s="7">
        <v>112510.25060143022</v>
      </c>
      <c r="G20" s="7"/>
      <c r="H20" s="7"/>
      <c r="I20" s="7"/>
      <c r="J20" s="7"/>
      <c r="K20" s="7"/>
      <c r="L20" s="7"/>
      <c r="M20" s="7"/>
      <c r="N20" s="7">
        <v>3292318.4114014311</v>
      </c>
    </row>
    <row r="21" spans="1:14" x14ac:dyDescent="0.25">
      <c r="B21" t="s">
        <v>18</v>
      </c>
      <c r="C21" s="7"/>
      <c r="D21" s="7">
        <v>93439.032000000021</v>
      </c>
      <c r="E21" s="7"/>
      <c r="F21" s="7"/>
      <c r="G21" s="7"/>
      <c r="H21" s="7"/>
      <c r="I21" s="7"/>
      <c r="J21" s="7"/>
      <c r="K21" s="7"/>
      <c r="L21" s="7"/>
      <c r="M21" s="7"/>
      <c r="N21" s="7">
        <v>93439.032000000021</v>
      </c>
    </row>
    <row r="22" spans="1:14" x14ac:dyDescent="0.25">
      <c r="B22" t="s">
        <v>19</v>
      </c>
      <c r="C22" s="7"/>
      <c r="D22" s="7">
        <v>13087.879199999999</v>
      </c>
      <c r="E22" s="7"/>
      <c r="F22" s="7"/>
      <c r="G22" s="7"/>
      <c r="H22" s="7"/>
      <c r="I22" s="7"/>
      <c r="J22" s="7"/>
      <c r="K22" s="7"/>
      <c r="L22" s="7"/>
      <c r="M22" s="7"/>
      <c r="N22" s="7">
        <v>13087.879199999999</v>
      </c>
    </row>
    <row r="23" spans="1:14" x14ac:dyDescent="0.25">
      <c r="B23" t="s">
        <v>13</v>
      </c>
      <c r="C23" s="7"/>
      <c r="D23" s="7">
        <v>247121.53680000009</v>
      </c>
      <c r="E23" s="7">
        <v>260977.33199999999</v>
      </c>
      <c r="F23" s="7">
        <v>71795.51999999999</v>
      </c>
      <c r="G23" s="7"/>
      <c r="H23" s="7"/>
      <c r="I23" s="7"/>
      <c r="J23" s="7"/>
      <c r="K23" s="7"/>
      <c r="L23" s="7"/>
      <c r="M23" s="7"/>
      <c r="N23" s="7">
        <v>579894.38880000007</v>
      </c>
    </row>
    <row r="24" spans="1:14" x14ac:dyDescent="0.25">
      <c r="A24" t="s">
        <v>10</v>
      </c>
      <c r="B24" t="s">
        <v>12</v>
      </c>
      <c r="C24" s="7"/>
      <c r="D24" s="7"/>
      <c r="E24" s="7">
        <v>293032.21164595929</v>
      </c>
      <c r="F24" s="7">
        <v>95481.2147366469</v>
      </c>
      <c r="G24" s="7"/>
      <c r="H24" s="7"/>
      <c r="I24" s="7"/>
      <c r="J24" s="7"/>
      <c r="K24" s="7"/>
      <c r="L24" s="7"/>
      <c r="M24" s="7"/>
      <c r="N24" s="7">
        <v>388513.42638260609</v>
      </c>
    </row>
    <row r="25" spans="1:14" x14ac:dyDescent="0.25">
      <c r="B25" t="s">
        <v>13</v>
      </c>
      <c r="C25" s="7"/>
      <c r="D25" s="7"/>
      <c r="E25" s="7">
        <v>17604.3472</v>
      </c>
      <c r="F25" s="7"/>
      <c r="G25" s="7"/>
      <c r="H25" s="7"/>
      <c r="I25" s="7"/>
      <c r="J25" s="7"/>
      <c r="K25" s="7"/>
      <c r="L25" s="7"/>
      <c r="M25" s="7"/>
      <c r="N25" s="7">
        <v>17604.3472</v>
      </c>
    </row>
    <row r="26" spans="1:14" x14ac:dyDescent="0.25">
      <c r="A26" t="s">
        <v>11</v>
      </c>
      <c r="C26" s="7">
        <v>1131886.8334000001</v>
      </c>
      <c r="D26" s="7">
        <v>2154407.2062999997</v>
      </c>
      <c r="E26" s="7">
        <v>1643390.5880961597</v>
      </c>
      <c r="F26" s="7">
        <v>523974.54949094227</v>
      </c>
      <c r="G26" s="7">
        <v>533717.39872069017</v>
      </c>
      <c r="H26" s="7">
        <v>1187900.8337353086</v>
      </c>
      <c r="I26" s="7">
        <v>216163.11664628782</v>
      </c>
      <c r="J26" s="7">
        <v>337647.79564099998</v>
      </c>
      <c r="K26" s="7">
        <v>680206.20859214664</v>
      </c>
      <c r="L26" s="7">
        <v>811528.94899333408</v>
      </c>
      <c r="M26" s="7">
        <v>272703.43892569601</v>
      </c>
      <c r="N26" s="7">
        <v>9493526.9185415879</v>
      </c>
    </row>
    <row r="28" spans="1:14" x14ac:dyDescent="0.25">
      <c r="E28" s="3" t="s">
        <v>24</v>
      </c>
      <c r="F28" s="3" t="s">
        <v>25</v>
      </c>
    </row>
    <row r="29" spans="1:14" x14ac:dyDescent="0.25">
      <c r="E29" s="3" t="s">
        <v>26</v>
      </c>
      <c r="F29" s="4">
        <v>46007</v>
      </c>
    </row>
    <row r="30" spans="1:14" x14ac:dyDescent="0.25">
      <c r="E30" s="5" t="s">
        <v>31</v>
      </c>
      <c r="F30" s="6"/>
    </row>
    <row r="31" spans="1:14" x14ac:dyDescent="0.25">
      <c r="A31" s="1" t="s">
        <v>32</v>
      </c>
      <c r="C31" s="1" t="s">
        <v>22</v>
      </c>
    </row>
    <row r="32" spans="1:14" x14ac:dyDescent="0.25">
      <c r="A32" s="1" t="s">
        <v>0</v>
      </c>
      <c r="B32" s="1" t="s">
        <v>21</v>
      </c>
      <c r="C32">
        <v>11</v>
      </c>
      <c r="D32">
        <v>12</v>
      </c>
      <c r="E32">
        <v>1</v>
      </c>
      <c r="F32">
        <v>2</v>
      </c>
      <c r="G32">
        <v>3</v>
      </c>
      <c r="H32">
        <v>4</v>
      </c>
      <c r="I32">
        <v>5</v>
      </c>
      <c r="J32">
        <v>6</v>
      </c>
      <c r="K32">
        <v>7</v>
      </c>
      <c r="L32">
        <v>8</v>
      </c>
      <c r="M32">
        <v>9</v>
      </c>
      <c r="N32" t="s">
        <v>11</v>
      </c>
    </row>
    <row r="33" spans="1:14" x14ac:dyDescent="0.25">
      <c r="A33" t="s">
        <v>1</v>
      </c>
      <c r="B33" t="s">
        <v>12</v>
      </c>
      <c r="C33" s="7"/>
      <c r="D33" s="7">
        <v>39724.201200000003</v>
      </c>
      <c r="E33" s="7">
        <v>36454.87469108434</v>
      </c>
      <c r="F33" s="7">
        <v>55398.269595019075</v>
      </c>
      <c r="G33" s="7"/>
      <c r="H33" s="7">
        <v>417.63855421686748</v>
      </c>
      <c r="I33" s="7"/>
      <c r="J33" s="7"/>
      <c r="K33" s="7"/>
      <c r="L33" s="7"/>
      <c r="M33" s="7"/>
      <c r="N33" s="7">
        <v>131994.98404032027</v>
      </c>
    </row>
    <row r="34" spans="1:14" x14ac:dyDescent="0.25">
      <c r="B34" t="s">
        <v>13</v>
      </c>
      <c r="C34" s="7"/>
      <c r="D34" s="7"/>
      <c r="E34" s="7">
        <v>52990.01496</v>
      </c>
      <c r="F34" s="7">
        <v>42250.464</v>
      </c>
      <c r="G34" s="7"/>
      <c r="H34" s="7"/>
      <c r="I34" s="7"/>
      <c r="J34" s="7"/>
      <c r="K34" s="7"/>
      <c r="L34" s="7"/>
      <c r="M34" s="7"/>
      <c r="N34" s="7">
        <v>95240.478959999993</v>
      </c>
    </row>
    <row r="35" spans="1:14" x14ac:dyDescent="0.25">
      <c r="A35" t="s">
        <v>2</v>
      </c>
      <c r="B35" t="s">
        <v>12</v>
      </c>
      <c r="C35" s="7">
        <v>36541.816080000004</v>
      </c>
      <c r="D35" s="7">
        <v>18756.70896</v>
      </c>
      <c r="E35" s="7"/>
      <c r="F35" s="7"/>
      <c r="G35" s="7"/>
      <c r="H35" s="7"/>
      <c r="I35" s="7"/>
      <c r="J35" s="7"/>
      <c r="K35" s="7"/>
      <c r="L35" s="7"/>
      <c r="M35" s="7"/>
      <c r="N35" s="7">
        <v>55298.525040000008</v>
      </c>
    </row>
    <row r="36" spans="1:14" x14ac:dyDescent="0.25">
      <c r="B36" t="s">
        <v>14</v>
      </c>
      <c r="C36" s="7">
        <v>2688.39912</v>
      </c>
      <c r="D36" s="7">
        <v>27108.098159999998</v>
      </c>
      <c r="E36" s="7"/>
      <c r="F36" s="7"/>
      <c r="G36" s="7"/>
      <c r="H36" s="7"/>
      <c r="I36" s="7"/>
      <c r="J36" s="7"/>
      <c r="K36" s="7"/>
      <c r="L36" s="7"/>
      <c r="M36" s="7"/>
      <c r="N36" s="7">
        <v>29796.49728</v>
      </c>
    </row>
    <row r="37" spans="1:14" x14ac:dyDescent="0.25">
      <c r="A37" t="s">
        <v>3</v>
      </c>
      <c r="B37" t="s">
        <v>12</v>
      </c>
      <c r="C37" s="7">
        <v>25466.546720000002</v>
      </c>
      <c r="D37" s="7">
        <v>29830.575920000003</v>
      </c>
      <c r="E37" s="7"/>
      <c r="F37" s="7"/>
      <c r="G37" s="7"/>
      <c r="H37" s="7"/>
      <c r="I37" s="7"/>
      <c r="J37" s="7"/>
      <c r="K37" s="7"/>
      <c r="L37" s="7"/>
      <c r="M37" s="7"/>
      <c r="N37" s="7">
        <v>55297.122639999994</v>
      </c>
    </row>
    <row r="38" spans="1:14" x14ac:dyDescent="0.25">
      <c r="B38" t="s">
        <v>13</v>
      </c>
      <c r="C38" s="7"/>
      <c r="D38" s="7">
        <v>18733.167680000002</v>
      </c>
      <c r="E38" s="7"/>
      <c r="F38" s="7"/>
      <c r="G38" s="7"/>
      <c r="H38" s="7"/>
      <c r="I38" s="7"/>
      <c r="J38" s="7"/>
      <c r="K38" s="7"/>
      <c r="L38" s="7"/>
      <c r="M38" s="7"/>
      <c r="N38" s="7">
        <v>18733.167680000002</v>
      </c>
    </row>
    <row r="39" spans="1:14" x14ac:dyDescent="0.25">
      <c r="A39" t="s">
        <v>4</v>
      </c>
      <c r="B39" t="s">
        <v>12</v>
      </c>
      <c r="C39" s="7"/>
      <c r="D39" s="7">
        <v>7911.1632000000009</v>
      </c>
      <c r="E39" s="7">
        <v>7439.0720000000001</v>
      </c>
      <c r="F39" s="7"/>
      <c r="G39" s="7"/>
      <c r="H39" s="7"/>
      <c r="I39" s="7"/>
      <c r="J39" s="7"/>
      <c r="K39" s="7"/>
      <c r="L39" s="7"/>
      <c r="M39" s="7"/>
      <c r="N39" s="7">
        <v>15350.235200000001</v>
      </c>
    </row>
    <row r="40" spans="1:14" x14ac:dyDescent="0.25">
      <c r="A40" t="s">
        <v>5</v>
      </c>
      <c r="B40" t="s">
        <v>12</v>
      </c>
      <c r="C40" s="7"/>
      <c r="D40" s="7"/>
      <c r="E40" s="7"/>
      <c r="F40" s="7"/>
      <c r="G40" s="7">
        <v>84385.72522741319</v>
      </c>
      <c r="H40" s="7"/>
      <c r="I40" s="7"/>
      <c r="J40" s="7"/>
      <c r="K40" s="7"/>
      <c r="L40" s="7"/>
      <c r="M40" s="7"/>
      <c r="N40" s="7">
        <v>84385.72522741319</v>
      </c>
    </row>
    <row r="41" spans="1:14" x14ac:dyDescent="0.25">
      <c r="B41" t="s">
        <v>15</v>
      </c>
      <c r="C41" s="7"/>
      <c r="D41" s="7"/>
      <c r="E41" s="7"/>
      <c r="F41" s="7"/>
      <c r="G41" s="7">
        <v>61924.800000000003</v>
      </c>
      <c r="H41" s="7">
        <v>32592</v>
      </c>
      <c r="I41" s="7"/>
      <c r="J41" s="7"/>
      <c r="K41" s="7"/>
      <c r="L41" s="7"/>
      <c r="M41" s="7"/>
      <c r="N41" s="7">
        <v>94516.800000000003</v>
      </c>
    </row>
    <row r="42" spans="1:14" x14ac:dyDescent="0.25">
      <c r="B42" t="s">
        <v>13</v>
      </c>
      <c r="C42" s="7"/>
      <c r="D42" s="7"/>
      <c r="E42" s="7"/>
      <c r="F42" s="7"/>
      <c r="G42" s="7">
        <v>83780.975554395409</v>
      </c>
      <c r="H42" s="7">
        <v>479075.00557267142</v>
      </c>
      <c r="I42" s="7">
        <v>28682.605398621861</v>
      </c>
      <c r="J42" s="7"/>
      <c r="K42" s="7"/>
      <c r="L42" s="7"/>
      <c r="M42" s="7"/>
      <c r="N42" s="7">
        <v>591538.58652568865</v>
      </c>
    </row>
    <row r="43" spans="1:14" x14ac:dyDescent="0.25">
      <c r="A43" t="s">
        <v>6</v>
      </c>
      <c r="B43" t="s">
        <v>16</v>
      </c>
      <c r="C43" s="7"/>
      <c r="D43" s="7"/>
      <c r="E43" s="7"/>
      <c r="F43" s="7"/>
      <c r="G43" s="7"/>
      <c r="H43" s="7"/>
      <c r="I43" s="7">
        <v>60510.239999999998</v>
      </c>
      <c r="J43" s="7">
        <v>135458.99867679999</v>
      </c>
      <c r="K43" s="7">
        <v>53854.257130304002</v>
      </c>
      <c r="L43" s="7">
        <v>62314.446848000007</v>
      </c>
      <c r="M43" s="7">
        <v>45604.485620940803</v>
      </c>
      <c r="N43" s="7">
        <v>357742.42827604484</v>
      </c>
    </row>
    <row r="44" spans="1:14" x14ac:dyDescent="0.25">
      <c r="A44" t="s">
        <v>7</v>
      </c>
      <c r="B44" t="s">
        <v>12</v>
      </c>
      <c r="C44" s="7"/>
      <c r="D44" s="7"/>
      <c r="E44" s="7"/>
      <c r="F44" s="7"/>
      <c r="G44" s="7"/>
      <c r="H44" s="7"/>
      <c r="I44" s="7"/>
      <c r="J44" s="7"/>
      <c r="K44" s="7">
        <v>181621</v>
      </c>
      <c r="L44" s="7">
        <v>189563.00000000012</v>
      </c>
      <c r="M44" s="7"/>
      <c r="N44" s="7">
        <v>371184.00000000012</v>
      </c>
    </row>
    <row r="45" spans="1:14" x14ac:dyDescent="0.25">
      <c r="B45" t="s">
        <v>17</v>
      </c>
      <c r="C45" s="7"/>
      <c r="D45" s="7"/>
      <c r="E45" s="7"/>
      <c r="F45" s="7"/>
      <c r="G45" s="7"/>
      <c r="H45" s="7"/>
      <c r="I45" s="7"/>
      <c r="J45" s="7"/>
      <c r="K45" s="7">
        <v>6425.4960000000001</v>
      </c>
      <c r="L45" s="7">
        <v>49314.202080000003</v>
      </c>
      <c r="M45" s="7">
        <v>58110.560640000003</v>
      </c>
      <c r="N45" s="7">
        <v>113850.25872000003</v>
      </c>
    </row>
    <row r="46" spans="1:14" x14ac:dyDescent="0.25">
      <c r="A46" t="s">
        <v>8</v>
      </c>
      <c r="B46" t="s">
        <v>12</v>
      </c>
      <c r="C46" s="7"/>
      <c r="D46" s="7"/>
      <c r="E46" s="7"/>
      <c r="F46" s="7"/>
      <c r="G46" s="7"/>
      <c r="H46" s="7"/>
      <c r="I46" s="7"/>
      <c r="J46" s="7">
        <v>1046.6666666666667</v>
      </c>
      <c r="K46" s="7">
        <v>11513.33333333333</v>
      </c>
      <c r="L46" s="7"/>
      <c r="M46" s="7"/>
      <c r="N46" s="7">
        <v>12559.999999999996</v>
      </c>
    </row>
    <row r="47" spans="1:14" x14ac:dyDescent="0.25">
      <c r="A47" t="s">
        <v>9</v>
      </c>
      <c r="B47" t="s">
        <v>12</v>
      </c>
      <c r="C47" s="7">
        <v>469912.14912000007</v>
      </c>
      <c r="D47" s="7">
        <v>720378.60360000026</v>
      </c>
      <c r="E47" s="7">
        <v>425183.76944000018</v>
      </c>
      <c r="F47" s="7">
        <v>57159.876991673387</v>
      </c>
      <c r="G47" s="7"/>
      <c r="H47" s="7"/>
      <c r="I47" s="7"/>
      <c r="J47" s="7"/>
      <c r="K47" s="7"/>
      <c r="L47" s="7"/>
      <c r="M47" s="7"/>
      <c r="N47" s="7">
        <v>1672634.399151674</v>
      </c>
    </row>
    <row r="48" spans="1:14" x14ac:dyDescent="0.25">
      <c r="B48" t="s">
        <v>18</v>
      </c>
      <c r="C48" s="7"/>
      <c r="D48" s="7">
        <v>47470.9064</v>
      </c>
      <c r="E48" s="7"/>
      <c r="F48" s="7"/>
      <c r="G48" s="7"/>
      <c r="H48" s="7"/>
      <c r="I48" s="7"/>
      <c r="J48" s="7"/>
      <c r="K48" s="7"/>
      <c r="L48" s="7"/>
      <c r="M48" s="7"/>
      <c r="N48" s="7">
        <v>47470.9064</v>
      </c>
    </row>
    <row r="49" spans="1:14" x14ac:dyDescent="0.25">
      <c r="B49" t="s">
        <v>19</v>
      </c>
      <c r="C49" s="7"/>
      <c r="D49" s="7">
        <v>6649.1858400000001</v>
      </c>
      <c r="E49" s="7"/>
      <c r="F49" s="7"/>
      <c r="G49" s="7"/>
      <c r="H49" s="7"/>
      <c r="I49" s="7"/>
      <c r="J49" s="7"/>
      <c r="K49" s="7"/>
      <c r="L49" s="7"/>
      <c r="M49" s="7"/>
      <c r="N49" s="7">
        <v>6649.1858400000001</v>
      </c>
    </row>
    <row r="50" spans="1:14" x14ac:dyDescent="0.25">
      <c r="B50" t="s">
        <v>13</v>
      </c>
      <c r="C50" s="7"/>
      <c r="D50" s="7">
        <v>125547.99736000005</v>
      </c>
      <c r="E50" s="7">
        <v>132587.31640000004</v>
      </c>
      <c r="F50" s="7">
        <v>36475.103999999999</v>
      </c>
      <c r="G50" s="7"/>
      <c r="H50" s="7"/>
      <c r="I50" s="7"/>
      <c r="J50" s="7"/>
      <c r="K50" s="7"/>
      <c r="L50" s="7"/>
      <c r="M50" s="7"/>
      <c r="N50" s="7">
        <v>294610.41776000004</v>
      </c>
    </row>
    <row r="51" spans="1:14" x14ac:dyDescent="0.25">
      <c r="A51" t="s">
        <v>10</v>
      </c>
      <c r="B51" t="s">
        <v>12</v>
      </c>
      <c r="C51" s="7"/>
      <c r="D51" s="7"/>
      <c r="E51" s="7">
        <v>162874.7468472585</v>
      </c>
      <c r="F51" s="7">
        <v>53070.884567766661</v>
      </c>
      <c r="G51" s="7"/>
      <c r="H51" s="7"/>
      <c r="I51" s="7"/>
      <c r="J51" s="7"/>
      <c r="K51" s="7"/>
      <c r="L51" s="7"/>
      <c r="M51" s="7"/>
      <c r="N51" s="7">
        <v>215945.63141502519</v>
      </c>
    </row>
    <row r="52" spans="1:14" x14ac:dyDescent="0.25">
      <c r="B52" t="s">
        <v>13</v>
      </c>
      <c r="C52" s="7"/>
      <c r="D52" s="7"/>
      <c r="E52" s="7">
        <v>9784.9433600000011</v>
      </c>
      <c r="F52" s="7"/>
      <c r="G52" s="7"/>
      <c r="H52" s="7"/>
      <c r="I52" s="7"/>
      <c r="J52" s="7"/>
      <c r="K52" s="7"/>
      <c r="L52" s="7"/>
      <c r="M52" s="7"/>
      <c r="N52" s="7">
        <v>9784.9433600000011</v>
      </c>
    </row>
    <row r="53" spans="1:14" x14ac:dyDescent="0.25">
      <c r="A53" t="s">
        <v>11</v>
      </c>
      <c r="C53" s="7">
        <v>534608.91104000004</v>
      </c>
      <c r="D53" s="7">
        <v>1042110.6083199993</v>
      </c>
      <c r="E53" s="7">
        <v>827314.73769834335</v>
      </c>
      <c r="F53" s="7">
        <v>244354.59915445905</v>
      </c>
      <c r="G53" s="7">
        <v>230091.5007818086</v>
      </c>
      <c r="H53" s="7">
        <v>512084.64412688825</v>
      </c>
      <c r="I53" s="7">
        <v>89192.845398621866</v>
      </c>
      <c r="J53" s="7">
        <v>136505.66534346668</v>
      </c>
      <c r="K53" s="7">
        <v>253414.08646363736</v>
      </c>
      <c r="L53" s="7">
        <v>301191.64892800013</v>
      </c>
      <c r="M53" s="7">
        <v>103715.0462609408</v>
      </c>
      <c r="N53" s="7">
        <v>4274584.2935161628</v>
      </c>
    </row>
    <row r="55" spans="1:14" x14ac:dyDescent="0.25">
      <c r="E55" s="3" t="s">
        <v>24</v>
      </c>
      <c r="F55" s="3" t="s">
        <v>25</v>
      </c>
    </row>
    <row r="56" spans="1:14" x14ac:dyDescent="0.25">
      <c r="E56" s="3" t="s">
        <v>26</v>
      </c>
      <c r="F56" s="4">
        <v>46007</v>
      </c>
    </row>
    <row r="57" spans="1:14" x14ac:dyDescent="0.25">
      <c r="E57" s="5" t="s">
        <v>33</v>
      </c>
      <c r="F57" s="6"/>
    </row>
    <row r="58" spans="1:14" x14ac:dyDescent="0.25">
      <c r="A58" s="1" t="s">
        <v>34</v>
      </c>
      <c r="C58" s="1" t="s">
        <v>22</v>
      </c>
    </row>
    <row r="59" spans="1:14" x14ac:dyDescent="0.25">
      <c r="A59" s="1" t="s">
        <v>0</v>
      </c>
      <c r="B59" s="1" t="s">
        <v>21</v>
      </c>
      <c r="C59">
        <v>11</v>
      </c>
      <c r="D59">
        <v>12</v>
      </c>
      <c r="E59">
        <v>1</v>
      </c>
      <c r="F59">
        <v>2</v>
      </c>
      <c r="G59">
        <v>3</v>
      </c>
      <c r="H59">
        <v>4</v>
      </c>
      <c r="I59">
        <v>5</v>
      </c>
      <c r="J59">
        <v>6</v>
      </c>
      <c r="K59">
        <v>7</v>
      </c>
      <c r="L59">
        <v>8</v>
      </c>
      <c r="M59">
        <v>9</v>
      </c>
      <c r="N59" t="s">
        <v>11</v>
      </c>
    </row>
    <row r="60" spans="1:14" x14ac:dyDescent="0.25">
      <c r="A60" t="s">
        <v>1</v>
      </c>
      <c r="B60" t="s">
        <v>12</v>
      </c>
      <c r="C60" s="7"/>
      <c r="D60" s="7">
        <v>139061.44369999997</v>
      </c>
      <c r="E60" s="7">
        <v>127616.60024128514</v>
      </c>
      <c r="F60" s="7">
        <v>193931.23374788393</v>
      </c>
      <c r="G60" s="7"/>
      <c r="H60" s="7">
        <v>1462.0160642570281</v>
      </c>
      <c r="I60" s="7"/>
      <c r="J60" s="7"/>
      <c r="K60" s="7"/>
      <c r="L60" s="7"/>
      <c r="M60" s="7"/>
      <c r="N60" s="7">
        <v>462071.29375342594</v>
      </c>
    </row>
    <row r="61" spans="1:14" x14ac:dyDescent="0.25">
      <c r="B61" t="s">
        <v>13</v>
      </c>
      <c r="C61" s="7"/>
      <c r="D61" s="7"/>
      <c r="E61" s="7">
        <v>185500.72146</v>
      </c>
      <c r="F61" s="7">
        <v>147905.06400000001</v>
      </c>
      <c r="G61" s="7"/>
      <c r="H61" s="7"/>
      <c r="I61" s="7"/>
      <c r="J61" s="7"/>
      <c r="K61" s="7"/>
      <c r="L61" s="7"/>
      <c r="M61" s="7"/>
      <c r="N61" s="7">
        <v>333405.78546000004</v>
      </c>
    </row>
    <row r="62" spans="1:14" x14ac:dyDescent="0.25">
      <c r="A62" t="s">
        <v>2</v>
      </c>
      <c r="B62" t="s">
        <v>12</v>
      </c>
      <c r="C62" s="7">
        <v>191898.24807999999</v>
      </c>
      <c r="D62" s="7">
        <v>98500.292960000006</v>
      </c>
      <c r="E62" s="7"/>
      <c r="F62" s="7"/>
      <c r="G62" s="7"/>
      <c r="H62" s="7"/>
      <c r="I62" s="7"/>
      <c r="J62" s="7"/>
      <c r="K62" s="7"/>
      <c r="L62" s="7"/>
      <c r="M62" s="7"/>
      <c r="N62" s="7">
        <v>290398.54104000004</v>
      </c>
    </row>
    <row r="63" spans="1:14" x14ac:dyDescent="0.25">
      <c r="B63" t="s">
        <v>14</v>
      </c>
      <c r="C63" s="7">
        <v>14118.047119999999</v>
      </c>
      <c r="D63" s="7">
        <v>142357.36215999999</v>
      </c>
      <c r="E63" s="7"/>
      <c r="F63" s="7"/>
      <c r="G63" s="7"/>
      <c r="H63" s="7"/>
      <c r="I63" s="7"/>
      <c r="J63" s="7"/>
      <c r="K63" s="7"/>
      <c r="L63" s="7"/>
      <c r="M63" s="7"/>
      <c r="N63" s="7">
        <v>156475.40927999999</v>
      </c>
    </row>
    <row r="64" spans="1:14" x14ac:dyDescent="0.25">
      <c r="A64" t="s">
        <v>3</v>
      </c>
      <c r="B64" t="s">
        <v>12</v>
      </c>
      <c r="C64" s="7">
        <v>65618.954519999999</v>
      </c>
      <c r="D64" s="7">
        <v>76863.629219999988</v>
      </c>
      <c r="E64" s="7"/>
      <c r="F64" s="7"/>
      <c r="G64" s="7"/>
      <c r="H64" s="7"/>
      <c r="I64" s="7"/>
      <c r="J64" s="7"/>
      <c r="K64" s="7"/>
      <c r="L64" s="7"/>
      <c r="M64" s="7"/>
      <c r="N64" s="7">
        <v>142482.58374</v>
      </c>
    </row>
    <row r="65" spans="1:14" x14ac:dyDescent="0.25">
      <c r="B65" t="s">
        <v>13</v>
      </c>
      <c r="C65" s="7"/>
      <c r="D65" s="7">
        <v>48269.240879999998</v>
      </c>
      <c r="E65" s="7"/>
      <c r="F65" s="7"/>
      <c r="G65" s="7"/>
      <c r="H65" s="7"/>
      <c r="I65" s="7"/>
      <c r="J65" s="7"/>
      <c r="K65" s="7"/>
      <c r="L65" s="7"/>
      <c r="M65" s="7"/>
      <c r="N65" s="7">
        <v>48269.240879999998</v>
      </c>
    </row>
    <row r="66" spans="1:14" x14ac:dyDescent="0.25">
      <c r="A66" t="s">
        <v>4</v>
      </c>
      <c r="B66" t="s">
        <v>12</v>
      </c>
      <c r="C66" s="7"/>
      <c r="D66" s="7">
        <v>19818.4365</v>
      </c>
      <c r="E66" s="7">
        <v>18635.79</v>
      </c>
      <c r="F66" s="7"/>
      <c r="G66" s="7"/>
      <c r="H66" s="7"/>
      <c r="I66" s="7"/>
      <c r="J66" s="7"/>
      <c r="K66" s="7"/>
      <c r="L66" s="7"/>
      <c r="M66" s="7"/>
      <c r="N66" s="7">
        <v>38454.226500000004</v>
      </c>
    </row>
    <row r="67" spans="1:14" x14ac:dyDescent="0.25">
      <c r="A67" t="s">
        <v>5</v>
      </c>
      <c r="B67" t="s">
        <v>12</v>
      </c>
      <c r="C67" s="7"/>
      <c r="D67" s="7"/>
      <c r="E67" s="7"/>
      <c r="F67" s="7"/>
      <c r="G67" s="7">
        <v>280125.80951780453</v>
      </c>
      <c r="H67" s="7"/>
      <c r="I67" s="7"/>
      <c r="J67" s="7"/>
      <c r="K67" s="7"/>
      <c r="L67" s="7"/>
      <c r="M67" s="7"/>
      <c r="N67" s="7">
        <v>280125.80951780453</v>
      </c>
    </row>
    <row r="68" spans="1:14" x14ac:dyDescent="0.25">
      <c r="B68" t="s">
        <v>15</v>
      </c>
      <c r="C68" s="7"/>
      <c r="D68" s="7"/>
      <c r="E68" s="7"/>
      <c r="F68" s="7"/>
      <c r="G68" s="7">
        <v>205564.80000000002</v>
      </c>
      <c r="H68" s="7">
        <v>108192</v>
      </c>
      <c r="I68" s="7"/>
      <c r="J68" s="7"/>
      <c r="K68" s="7"/>
      <c r="L68" s="7"/>
      <c r="M68" s="7"/>
      <c r="N68" s="7">
        <v>313756.80000000005</v>
      </c>
    </row>
    <row r="69" spans="1:14" x14ac:dyDescent="0.25">
      <c r="B69" t="s">
        <v>13</v>
      </c>
      <c r="C69" s="7"/>
      <c r="D69" s="7"/>
      <c r="E69" s="7"/>
      <c r="F69" s="7"/>
      <c r="G69" s="7">
        <v>278118.28998469404</v>
      </c>
      <c r="H69" s="7">
        <v>1590331.4617979401</v>
      </c>
      <c r="I69" s="7">
        <v>95214.422044909676</v>
      </c>
      <c r="J69" s="7"/>
      <c r="K69" s="7"/>
      <c r="L69" s="7"/>
      <c r="M69" s="7"/>
      <c r="N69" s="7">
        <v>1963664.1738275439</v>
      </c>
    </row>
    <row r="70" spans="1:14" x14ac:dyDescent="0.25">
      <c r="A70" t="s">
        <v>6</v>
      </c>
      <c r="B70" t="s">
        <v>16</v>
      </c>
      <c r="C70" s="7"/>
      <c r="D70" s="7"/>
      <c r="E70" s="7"/>
      <c r="F70" s="7"/>
      <c r="G70" s="7"/>
      <c r="H70" s="7"/>
      <c r="I70" s="7">
        <v>210141.54</v>
      </c>
      <c r="J70" s="7">
        <v>470425.54431779997</v>
      </c>
      <c r="K70" s="7">
        <v>187026.46905578399</v>
      </c>
      <c r="L70" s="7">
        <v>216407.23660800004</v>
      </c>
      <c r="M70" s="7">
        <v>158376.44734663679</v>
      </c>
      <c r="N70" s="7">
        <v>1242377.2373282206</v>
      </c>
    </row>
    <row r="71" spans="1:14" x14ac:dyDescent="0.25">
      <c r="A71" t="s">
        <v>7</v>
      </c>
      <c r="B71" t="s">
        <v>12</v>
      </c>
      <c r="C71" s="7"/>
      <c r="D71" s="7"/>
      <c r="E71" s="7"/>
      <c r="F71" s="7"/>
      <c r="G71" s="7"/>
      <c r="H71" s="7"/>
      <c r="I71" s="7"/>
      <c r="J71" s="7"/>
      <c r="K71" s="7">
        <v>681477.04166666616</v>
      </c>
      <c r="L71" s="7">
        <v>711276.95833333279</v>
      </c>
      <c r="M71" s="7"/>
      <c r="N71" s="7">
        <v>1392753.9999999981</v>
      </c>
    </row>
    <row r="72" spans="1:14" x14ac:dyDescent="0.25">
      <c r="B72" t="s">
        <v>17</v>
      </c>
      <c r="C72" s="7"/>
      <c r="D72" s="7"/>
      <c r="E72" s="7"/>
      <c r="F72" s="7"/>
      <c r="G72" s="7"/>
      <c r="H72" s="7"/>
      <c r="I72" s="7"/>
      <c r="J72" s="7"/>
      <c r="K72" s="7">
        <v>24109.701000000001</v>
      </c>
      <c r="L72" s="7">
        <v>185036.40297999998</v>
      </c>
      <c r="M72" s="7">
        <v>218042.03783999998</v>
      </c>
      <c r="N72" s="7">
        <v>427188.14182000002</v>
      </c>
    </row>
    <row r="73" spans="1:14" x14ac:dyDescent="0.25">
      <c r="A73" t="s">
        <v>8</v>
      </c>
      <c r="B73" t="s">
        <v>12</v>
      </c>
      <c r="C73" s="7"/>
      <c r="D73" s="7"/>
      <c r="E73" s="7"/>
      <c r="F73" s="7"/>
      <c r="G73" s="7"/>
      <c r="H73" s="7"/>
      <c r="I73" s="7"/>
      <c r="J73" s="7">
        <v>3727.916666666667</v>
      </c>
      <c r="K73" s="7">
        <v>41007.083333333336</v>
      </c>
      <c r="L73" s="7"/>
      <c r="M73" s="7"/>
      <c r="N73" s="7">
        <v>44735.000000000007</v>
      </c>
    </row>
    <row r="74" spans="1:14" x14ac:dyDescent="0.25">
      <c r="A74" t="s">
        <v>9</v>
      </c>
      <c r="B74" t="s">
        <v>12</v>
      </c>
      <c r="C74" s="7">
        <v>1394860.4947200003</v>
      </c>
      <c r="D74" s="7">
        <v>2138330.8716000011</v>
      </c>
      <c r="E74" s="7">
        <v>1262091.3166400003</v>
      </c>
      <c r="F74" s="7">
        <v>169670.12759310359</v>
      </c>
      <c r="G74" s="7"/>
      <c r="H74" s="7"/>
      <c r="I74" s="7"/>
      <c r="J74" s="7"/>
      <c r="K74" s="7"/>
      <c r="L74" s="7"/>
      <c r="M74" s="7"/>
      <c r="N74" s="7">
        <v>4964952.8105531065</v>
      </c>
    </row>
    <row r="75" spans="1:14" x14ac:dyDescent="0.25">
      <c r="B75" t="s">
        <v>18</v>
      </c>
      <c r="C75" s="7"/>
      <c r="D75" s="7">
        <v>140909.93840000001</v>
      </c>
      <c r="E75" s="7"/>
      <c r="F75" s="7"/>
      <c r="G75" s="7"/>
      <c r="H75" s="7"/>
      <c r="I75" s="7"/>
      <c r="J75" s="7"/>
      <c r="K75" s="7"/>
      <c r="L75" s="7"/>
      <c r="M75" s="7"/>
      <c r="N75" s="7">
        <v>140909.93840000001</v>
      </c>
    </row>
    <row r="76" spans="1:14" x14ac:dyDescent="0.25">
      <c r="B76" t="s">
        <v>19</v>
      </c>
      <c r="C76" s="7"/>
      <c r="D76" s="7">
        <v>19737.065040000001</v>
      </c>
      <c r="E76" s="7"/>
      <c r="F76" s="7"/>
      <c r="G76" s="7"/>
      <c r="H76" s="7"/>
      <c r="I76" s="7"/>
      <c r="J76" s="7"/>
      <c r="K76" s="7"/>
      <c r="L76" s="7"/>
      <c r="M76" s="7"/>
      <c r="N76" s="7">
        <v>19737.065040000001</v>
      </c>
    </row>
    <row r="77" spans="1:14" x14ac:dyDescent="0.25">
      <c r="B77" t="s">
        <v>13</v>
      </c>
      <c r="C77" s="7"/>
      <c r="D77" s="7">
        <v>372669.53415999981</v>
      </c>
      <c r="E77" s="7">
        <v>393564.64840000018</v>
      </c>
      <c r="F77" s="7">
        <v>108270.62400000001</v>
      </c>
      <c r="G77" s="7"/>
      <c r="H77" s="7"/>
      <c r="I77" s="7"/>
      <c r="J77" s="7"/>
      <c r="K77" s="7"/>
      <c r="L77" s="7"/>
      <c r="M77" s="7"/>
      <c r="N77" s="7">
        <v>874504.80656000017</v>
      </c>
    </row>
    <row r="78" spans="1:14" x14ac:dyDescent="0.25">
      <c r="A78" t="s">
        <v>10</v>
      </c>
      <c r="B78" t="s">
        <v>12</v>
      </c>
      <c r="C78" s="7"/>
      <c r="D78" s="7"/>
      <c r="E78" s="7">
        <v>455906.95849321777</v>
      </c>
      <c r="F78" s="7">
        <v>148552.09930441348</v>
      </c>
      <c r="G78" s="7"/>
      <c r="H78" s="7"/>
      <c r="I78" s="7"/>
      <c r="J78" s="7"/>
      <c r="K78" s="7"/>
      <c r="L78" s="7"/>
      <c r="M78" s="7"/>
      <c r="N78" s="7">
        <v>604459.05779763113</v>
      </c>
    </row>
    <row r="79" spans="1:14" x14ac:dyDescent="0.25">
      <c r="B79" t="s">
        <v>13</v>
      </c>
      <c r="C79" s="7"/>
      <c r="D79" s="7"/>
      <c r="E79" s="7">
        <v>27389.290560000001</v>
      </c>
      <c r="F79" s="7"/>
      <c r="G79" s="7"/>
      <c r="H79" s="7"/>
      <c r="I79" s="7"/>
      <c r="J79" s="7"/>
      <c r="K79" s="7"/>
      <c r="L79" s="7"/>
      <c r="M79" s="7"/>
      <c r="N79" s="7">
        <v>27389.290560000001</v>
      </c>
    </row>
    <row r="80" spans="1:14" x14ac:dyDescent="0.25">
      <c r="A80" t="s">
        <v>11</v>
      </c>
      <c r="C80" s="7">
        <v>1666495.7444399998</v>
      </c>
      <c r="D80" s="7">
        <v>3196517.8146200036</v>
      </c>
      <c r="E80" s="7">
        <v>2470705.3257945036</v>
      </c>
      <c r="F80" s="7">
        <v>768329.14864540019</v>
      </c>
      <c r="G80" s="7">
        <v>763808.89950249868</v>
      </c>
      <c r="H80" s="7">
        <v>1699985.477862197</v>
      </c>
      <c r="I80" s="7">
        <v>305355.96204490971</v>
      </c>
      <c r="J80" s="7">
        <v>474153.4609844666</v>
      </c>
      <c r="K80" s="7">
        <v>933620.2950557837</v>
      </c>
      <c r="L80" s="7">
        <v>1112720.5979213328</v>
      </c>
      <c r="M80" s="7">
        <v>376418.4851866368</v>
      </c>
      <c r="N80" s="7">
        <v>13768111.212057753</v>
      </c>
    </row>
  </sheetData>
  <mergeCells count="3">
    <mergeCell ref="E3:F3"/>
    <mergeCell ref="E30:F30"/>
    <mergeCell ref="E57:F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390F5-DDEF-492B-8BEA-76EECB19A3C2}">
  <dimension ref="A1:N80"/>
  <sheetViews>
    <sheetView showGridLines="0" topLeftCell="A40" zoomScale="85" zoomScaleNormal="85" workbookViewId="0">
      <selection activeCell="H65" sqref="H65"/>
    </sheetView>
  </sheetViews>
  <sheetFormatPr baseColWidth="10" defaultRowHeight="15" x14ac:dyDescent="0.25"/>
  <cols>
    <col min="1" max="1" width="17.85546875" bestFit="1" customWidth="1"/>
    <col min="2" max="2" width="14.140625" bestFit="1" customWidth="1"/>
    <col min="3" max="5" width="11.7109375" bestFit="1" customWidth="1"/>
    <col min="6" max="7" width="10.28515625" bestFit="1" customWidth="1"/>
    <col min="8" max="8" width="11.7109375" bestFit="1" customWidth="1"/>
    <col min="9" max="11" width="10.28515625" bestFit="1" customWidth="1"/>
    <col min="12" max="12" width="11.7109375" bestFit="1" customWidth="1"/>
    <col min="13" max="13" width="10.28515625" bestFit="1" customWidth="1"/>
    <col min="14" max="14" width="12.7109375" bestFit="1" customWidth="1"/>
  </cols>
  <sheetData>
    <row r="1" spans="1:14" x14ac:dyDescent="0.25">
      <c r="E1" s="3" t="s">
        <v>24</v>
      </c>
      <c r="F1" s="3" t="s">
        <v>25</v>
      </c>
    </row>
    <row r="2" spans="1:14" x14ac:dyDescent="0.25">
      <c r="E2" s="3" t="s">
        <v>26</v>
      </c>
      <c r="F2" s="4">
        <v>46007</v>
      </c>
    </row>
    <row r="3" spans="1:14" x14ac:dyDescent="0.25">
      <c r="E3" s="5" t="s">
        <v>30</v>
      </c>
      <c r="F3" s="6"/>
    </row>
    <row r="4" spans="1:14" x14ac:dyDescent="0.25">
      <c r="A4" s="1" t="s">
        <v>29</v>
      </c>
      <c r="C4" s="1" t="s">
        <v>22</v>
      </c>
    </row>
    <row r="5" spans="1:14" x14ac:dyDescent="0.25">
      <c r="A5" s="1" t="s">
        <v>0</v>
      </c>
      <c r="B5" s="1" t="s">
        <v>21</v>
      </c>
      <c r="C5">
        <v>11</v>
      </c>
      <c r="D5">
        <v>12</v>
      </c>
      <c r="E5">
        <v>1</v>
      </c>
      <c r="F5">
        <v>2</v>
      </c>
      <c r="G5">
        <v>3</v>
      </c>
      <c r="H5">
        <v>4</v>
      </c>
      <c r="I5">
        <v>5</v>
      </c>
      <c r="J5">
        <v>6</v>
      </c>
      <c r="K5">
        <v>7</v>
      </c>
      <c r="L5">
        <v>8</v>
      </c>
      <c r="M5">
        <v>9</v>
      </c>
      <c r="N5" t="s">
        <v>11</v>
      </c>
    </row>
    <row r="6" spans="1:14" x14ac:dyDescent="0.25">
      <c r="A6" t="s">
        <v>1</v>
      </c>
      <c r="B6" t="s">
        <v>12</v>
      </c>
      <c r="C6" s="7"/>
      <c r="D6" s="7">
        <v>99337.242500000008</v>
      </c>
      <c r="E6" s="7">
        <v>91161.725550200805</v>
      </c>
      <c r="F6" s="7">
        <v>138532.96415286476</v>
      </c>
      <c r="G6" s="7"/>
      <c r="H6" s="7">
        <v>1044.3775100401606</v>
      </c>
      <c r="I6" s="7"/>
      <c r="J6" s="7"/>
      <c r="K6" s="7"/>
      <c r="L6" s="7"/>
      <c r="M6" s="7"/>
      <c r="N6" s="7">
        <v>330076.30971310579</v>
      </c>
    </row>
    <row r="7" spans="1:14" x14ac:dyDescent="0.25">
      <c r="B7" t="s">
        <v>13</v>
      </c>
      <c r="C7" s="7"/>
      <c r="D7" s="7"/>
      <c r="E7" s="7">
        <v>132510.7065</v>
      </c>
      <c r="F7" s="7">
        <v>105654.6</v>
      </c>
      <c r="G7" s="7"/>
      <c r="H7" s="7"/>
      <c r="I7" s="7"/>
      <c r="J7" s="7"/>
      <c r="K7" s="7"/>
      <c r="L7" s="7"/>
      <c r="M7" s="7"/>
      <c r="N7" s="7">
        <v>238165.30650000004</v>
      </c>
    </row>
    <row r="8" spans="1:14" x14ac:dyDescent="0.25">
      <c r="A8" t="s">
        <v>2</v>
      </c>
      <c r="B8" t="s">
        <v>12</v>
      </c>
      <c r="C8" s="7">
        <v>155356.432</v>
      </c>
      <c r="D8" s="7">
        <v>79743.584000000003</v>
      </c>
      <c r="E8" s="7"/>
      <c r="F8" s="7"/>
      <c r="G8" s="7"/>
      <c r="H8" s="7"/>
      <c r="I8" s="7"/>
      <c r="J8" s="7"/>
      <c r="K8" s="7"/>
      <c r="L8" s="7"/>
      <c r="M8" s="7"/>
      <c r="N8" s="7">
        <v>235100.016</v>
      </c>
    </row>
    <row r="9" spans="1:14" x14ac:dyDescent="0.25">
      <c r="B9" t="s">
        <v>14</v>
      </c>
      <c r="C9" s="7">
        <v>11429.648000000001</v>
      </c>
      <c r="D9" s="7">
        <v>115249.264</v>
      </c>
      <c r="E9" s="7"/>
      <c r="F9" s="7"/>
      <c r="G9" s="7"/>
      <c r="H9" s="7"/>
      <c r="I9" s="7"/>
      <c r="J9" s="7"/>
      <c r="K9" s="7"/>
      <c r="L9" s="7"/>
      <c r="M9" s="7"/>
      <c r="N9" s="7">
        <v>126678.912</v>
      </c>
    </row>
    <row r="10" spans="1:14" x14ac:dyDescent="0.25">
      <c r="A10" t="s">
        <v>3</v>
      </c>
      <c r="B10" t="s">
        <v>12</v>
      </c>
      <c r="C10" s="7">
        <v>40152.407800000001</v>
      </c>
      <c r="D10" s="7">
        <v>47033.0533</v>
      </c>
      <c r="E10" s="7"/>
      <c r="F10" s="7"/>
      <c r="G10" s="7"/>
      <c r="H10" s="7"/>
      <c r="I10" s="7"/>
      <c r="J10" s="7"/>
      <c r="K10" s="7"/>
      <c r="L10" s="7"/>
      <c r="M10" s="7"/>
      <c r="N10" s="7">
        <v>87185.4611</v>
      </c>
    </row>
    <row r="11" spans="1:14" x14ac:dyDescent="0.25">
      <c r="B11" t="s">
        <v>13</v>
      </c>
      <c r="C11" s="7"/>
      <c r="D11" s="7">
        <v>29536.073199999999</v>
      </c>
      <c r="E11" s="7"/>
      <c r="F11" s="7"/>
      <c r="G11" s="7"/>
      <c r="H11" s="7"/>
      <c r="I11" s="7"/>
      <c r="J11" s="7"/>
      <c r="K11" s="7"/>
      <c r="L11" s="7"/>
      <c r="M11" s="7"/>
      <c r="N11" s="7">
        <v>29536.073199999999</v>
      </c>
    </row>
    <row r="12" spans="1:14" x14ac:dyDescent="0.25">
      <c r="A12" t="s">
        <v>4</v>
      </c>
      <c r="B12" t="s">
        <v>12</v>
      </c>
      <c r="C12" s="7"/>
      <c r="D12" s="7">
        <v>11907.273300000001</v>
      </c>
      <c r="E12" s="7">
        <v>11196.717999999999</v>
      </c>
      <c r="F12" s="7"/>
      <c r="G12" s="7"/>
      <c r="H12" s="7"/>
      <c r="I12" s="7"/>
      <c r="J12" s="7"/>
      <c r="K12" s="7"/>
      <c r="L12" s="7"/>
      <c r="M12" s="7"/>
      <c r="N12" s="7">
        <v>23103.991299999998</v>
      </c>
    </row>
    <row r="13" spans="1:14" x14ac:dyDescent="0.25">
      <c r="A13" t="s">
        <v>5</v>
      </c>
      <c r="B13" t="s">
        <v>12</v>
      </c>
      <c r="C13" s="7"/>
      <c r="D13" s="7"/>
      <c r="E13" s="7"/>
      <c r="F13" s="7"/>
      <c r="G13" s="7">
        <v>195740.08429039147</v>
      </c>
      <c r="H13" s="7"/>
      <c r="I13" s="7"/>
      <c r="J13" s="7"/>
      <c r="K13" s="7"/>
      <c r="L13" s="7"/>
      <c r="M13" s="7"/>
      <c r="N13" s="7">
        <v>195740.08429039147</v>
      </c>
    </row>
    <row r="14" spans="1:14" x14ac:dyDescent="0.25">
      <c r="B14" t="s">
        <v>15</v>
      </c>
      <c r="C14" s="7"/>
      <c r="D14" s="7"/>
      <c r="E14" s="7"/>
      <c r="F14" s="7"/>
      <c r="G14" s="7">
        <v>143640</v>
      </c>
      <c r="H14" s="7">
        <v>75600</v>
      </c>
      <c r="I14" s="7"/>
      <c r="J14" s="7"/>
      <c r="K14" s="7"/>
      <c r="L14" s="7"/>
      <c r="M14" s="7"/>
      <c r="N14" s="7">
        <v>219240</v>
      </c>
    </row>
    <row r="15" spans="1:14" x14ac:dyDescent="0.25">
      <c r="B15" t="s">
        <v>13</v>
      </c>
      <c r="C15" s="7"/>
      <c r="D15" s="7"/>
      <c r="E15" s="7"/>
      <c r="F15" s="7"/>
      <c r="G15" s="7">
        <v>194337.31443029863</v>
      </c>
      <c r="H15" s="7">
        <v>1111256.4562252683</v>
      </c>
      <c r="I15" s="7">
        <v>66531.816646287829</v>
      </c>
      <c r="J15" s="7"/>
      <c r="K15" s="7"/>
      <c r="L15" s="7"/>
      <c r="M15" s="7"/>
      <c r="N15" s="7">
        <v>1372125.5873018545</v>
      </c>
    </row>
    <row r="16" spans="1:14" x14ac:dyDescent="0.25">
      <c r="A16" t="s">
        <v>6</v>
      </c>
      <c r="B16" t="s">
        <v>16</v>
      </c>
      <c r="C16" s="7"/>
      <c r="D16" s="7"/>
      <c r="E16" s="7"/>
      <c r="F16" s="7"/>
      <c r="G16" s="7"/>
      <c r="H16" s="7"/>
      <c r="I16" s="7">
        <v>149631.29999999999</v>
      </c>
      <c r="J16" s="7">
        <v>334966.54564099998</v>
      </c>
      <c r="K16" s="7">
        <v>133172.21192547999</v>
      </c>
      <c r="L16" s="7">
        <v>154092.78975999999</v>
      </c>
      <c r="M16" s="7">
        <v>112771.96172569599</v>
      </c>
      <c r="N16" s="7">
        <v>884634.80905217596</v>
      </c>
    </row>
    <row r="17" spans="1:14" x14ac:dyDescent="0.25">
      <c r="A17" t="s">
        <v>7</v>
      </c>
      <c r="B17" t="s">
        <v>12</v>
      </c>
      <c r="C17" s="7"/>
      <c r="D17" s="7"/>
      <c r="E17" s="7"/>
      <c r="F17" s="7"/>
      <c r="G17" s="7"/>
      <c r="H17" s="7"/>
      <c r="I17" s="7"/>
      <c r="J17" s="7"/>
      <c r="K17" s="7">
        <v>499856.04166666663</v>
      </c>
      <c r="L17" s="7">
        <v>521713.95833333407</v>
      </c>
      <c r="M17" s="7"/>
      <c r="N17" s="7">
        <v>1021569.9999999991</v>
      </c>
    </row>
    <row r="18" spans="1:14" x14ac:dyDescent="0.25">
      <c r="B18" t="s">
        <v>17</v>
      </c>
      <c r="C18" s="7"/>
      <c r="D18" s="7"/>
      <c r="E18" s="7"/>
      <c r="F18" s="7"/>
      <c r="G18" s="7"/>
      <c r="H18" s="7"/>
      <c r="I18" s="7"/>
      <c r="J18" s="7"/>
      <c r="K18" s="7">
        <v>17684.204999999998</v>
      </c>
      <c r="L18" s="7">
        <v>135722.20089999997</v>
      </c>
      <c r="M18" s="7">
        <v>159931.47719999996</v>
      </c>
      <c r="N18" s="7">
        <v>313337.88309999998</v>
      </c>
    </row>
    <row r="19" spans="1:14" x14ac:dyDescent="0.25">
      <c r="A19" t="s">
        <v>8</v>
      </c>
      <c r="B19" t="s">
        <v>12</v>
      </c>
      <c r="C19" s="7"/>
      <c r="D19" s="7"/>
      <c r="E19" s="7"/>
      <c r="F19" s="7"/>
      <c r="G19" s="7"/>
      <c r="H19" s="7"/>
      <c r="I19" s="7"/>
      <c r="J19" s="7">
        <v>2681.25</v>
      </c>
      <c r="K19" s="7">
        <v>29493.75</v>
      </c>
      <c r="L19" s="7"/>
      <c r="M19" s="7"/>
      <c r="N19" s="7">
        <v>32175</v>
      </c>
    </row>
    <row r="20" spans="1:14" x14ac:dyDescent="0.25">
      <c r="A20" t="s">
        <v>9</v>
      </c>
      <c r="B20" t="s">
        <v>12</v>
      </c>
      <c r="C20" s="7">
        <v>924948.3456</v>
      </c>
      <c r="D20" s="7">
        <v>1417952.2679999997</v>
      </c>
      <c r="E20" s="7">
        <v>836907.54720000003</v>
      </c>
      <c r="F20" s="7">
        <v>112510.25060143022</v>
      </c>
      <c r="G20" s="7"/>
      <c r="H20" s="7"/>
      <c r="I20" s="7"/>
      <c r="J20" s="7"/>
      <c r="K20" s="7"/>
      <c r="L20" s="7"/>
      <c r="M20" s="7"/>
      <c r="N20" s="7">
        <v>3292318.4114014311</v>
      </c>
    </row>
    <row r="21" spans="1:14" x14ac:dyDescent="0.25">
      <c r="B21" t="s">
        <v>18</v>
      </c>
      <c r="C21" s="7"/>
      <c r="D21" s="7">
        <v>93439.032000000021</v>
      </c>
      <c r="E21" s="7"/>
      <c r="F21" s="7"/>
      <c r="G21" s="7"/>
      <c r="H21" s="7"/>
      <c r="I21" s="7"/>
      <c r="J21" s="7"/>
      <c r="K21" s="7"/>
      <c r="L21" s="7"/>
      <c r="M21" s="7"/>
      <c r="N21" s="7">
        <v>93439.032000000021</v>
      </c>
    </row>
    <row r="22" spans="1:14" x14ac:dyDescent="0.25">
      <c r="B22" t="s">
        <v>19</v>
      </c>
      <c r="C22" s="7"/>
      <c r="D22" s="7">
        <v>13087.879199999999</v>
      </c>
      <c r="E22" s="7"/>
      <c r="F22" s="7"/>
      <c r="G22" s="7"/>
      <c r="H22" s="7"/>
      <c r="I22" s="7"/>
      <c r="J22" s="7"/>
      <c r="K22" s="7"/>
      <c r="L22" s="7"/>
      <c r="M22" s="7"/>
      <c r="N22" s="7">
        <v>13087.879199999999</v>
      </c>
    </row>
    <row r="23" spans="1:14" x14ac:dyDescent="0.25">
      <c r="B23" t="s">
        <v>13</v>
      </c>
      <c r="C23" s="7"/>
      <c r="D23" s="7">
        <v>247121.53680000009</v>
      </c>
      <c r="E23" s="7">
        <v>260977.33199999999</v>
      </c>
      <c r="F23" s="7">
        <v>71795.51999999999</v>
      </c>
      <c r="G23" s="7"/>
      <c r="H23" s="7"/>
      <c r="I23" s="7"/>
      <c r="J23" s="7"/>
      <c r="K23" s="7"/>
      <c r="L23" s="7"/>
      <c r="M23" s="7"/>
      <c r="N23" s="7">
        <v>579894.38880000007</v>
      </c>
    </row>
    <row r="24" spans="1:14" x14ac:dyDescent="0.25">
      <c r="A24" t="s">
        <v>10</v>
      </c>
      <c r="B24" t="s">
        <v>12</v>
      </c>
      <c r="C24" s="7"/>
      <c r="D24" s="7"/>
      <c r="E24" s="7">
        <v>293032.21164595929</v>
      </c>
      <c r="F24" s="7">
        <v>95481.2147366469</v>
      </c>
      <c r="G24" s="7"/>
      <c r="H24" s="7"/>
      <c r="I24" s="7"/>
      <c r="J24" s="7"/>
      <c r="K24" s="7"/>
      <c r="L24" s="7"/>
      <c r="M24" s="7"/>
      <c r="N24" s="7">
        <v>388513.42638260609</v>
      </c>
    </row>
    <row r="25" spans="1:14" x14ac:dyDescent="0.25">
      <c r="B25" t="s">
        <v>13</v>
      </c>
      <c r="C25" s="7"/>
      <c r="D25" s="7"/>
      <c r="E25" s="7">
        <v>17604.3472</v>
      </c>
      <c r="F25" s="7"/>
      <c r="G25" s="7"/>
      <c r="H25" s="7"/>
      <c r="I25" s="7"/>
      <c r="J25" s="7"/>
      <c r="K25" s="7"/>
      <c r="L25" s="7"/>
      <c r="M25" s="7"/>
      <c r="N25" s="7">
        <v>17604.3472</v>
      </c>
    </row>
    <row r="26" spans="1:14" x14ac:dyDescent="0.25">
      <c r="A26" t="s">
        <v>11</v>
      </c>
      <c r="C26" s="7">
        <v>1131886.8334000001</v>
      </c>
      <c r="D26" s="7">
        <v>2154407.2062999997</v>
      </c>
      <c r="E26" s="7">
        <v>1643390.5880961597</v>
      </c>
      <c r="F26" s="7">
        <v>523974.54949094227</v>
      </c>
      <c r="G26" s="7">
        <v>533717.39872069017</v>
      </c>
      <c r="H26" s="7">
        <v>1187900.8337353086</v>
      </c>
      <c r="I26" s="7">
        <v>216163.11664628782</v>
      </c>
      <c r="J26" s="7">
        <v>337647.79564099998</v>
      </c>
      <c r="K26" s="7">
        <v>680206.20859214664</v>
      </c>
      <c r="L26" s="7">
        <v>811528.94899333408</v>
      </c>
      <c r="M26" s="7">
        <v>272703.43892569601</v>
      </c>
      <c r="N26" s="7">
        <v>9493526.9185415879</v>
      </c>
    </row>
    <row r="28" spans="1:14" x14ac:dyDescent="0.25">
      <c r="E28" s="3" t="s">
        <v>24</v>
      </c>
      <c r="F28" s="3" t="s">
        <v>25</v>
      </c>
    </row>
    <row r="29" spans="1:14" x14ac:dyDescent="0.25">
      <c r="E29" s="3" t="s">
        <v>26</v>
      </c>
      <c r="F29" s="4">
        <v>46007</v>
      </c>
    </row>
    <row r="30" spans="1:14" x14ac:dyDescent="0.25">
      <c r="E30" s="5" t="s">
        <v>31</v>
      </c>
      <c r="F30" s="6"/>
    </row>
    <row r="31" spans="1:14" x14ac:dyDescent="0.25">
      <c r="A31" s="1" t="s">
        <v>32</v>
      </c>
      <c r="C31" s="1" t="s">
        <v>22</v>
      </c>
    </row>
    <row r="32" spans="1:14" x14ac:dyDescent="0.25">
      <c r="A32" s="1" t="s">
        <v>0</v>
      </c>
      <c r="B32" s="1" t="s">
        <v>21</v>
      </c>
      <c r="C32">
        <v>11</v>
      </c>
      <c r="D32">
        <v>12</v>
      </c>
      <c r="E32">
        <v>1</v>
      </c>
      <c r="F32">
        <v>2</v>
      </c>
      <c r="G32">
        <v>3</v>
      </c>
      <c r="H32">
        <v>4</v>
      </c>
      <c r="I32">
        <v>5</v>
      </c>
      <c r="J32">
        <v>6</v>
      </c>
      <c r="K32">
        <v>7</v>
      </c>
      <c r="L32">
        <v>8</v>
      </c>
      <c r="M32">
        <v>9</v>
      </c>
      <c r="N32" t="s">
        <v>11</v>
      </c>
    </row>
    <row r="33" spans="1:14" x14ac:dyDescent="0.25">
      <c r="A33" t="s">
        <v>1</v>
      </c>
      <c r="B33" t="s">
        <v>12</v>
      </c>
      <c r="C33" s="7"/>
      <c r="D33" s="7">
        <v>39724.201200000003</v>
      </c>
      <c r="E33" s="7">
        <v>36454.87469108434</v>
      </c>
      <c r="F33" s="7">
        <v>55398.269595019075</v>
      </c>
      <c r="G33" s="7"/>
      <c r="H33" s="7">
        <v>417.63855421686748</v>
      </c>
      <c r="I33" s="7"/>
      <c r="J33" s="7"/>
      <c r="K33" s="7"/>
      <c r="L33" s="7"/>
      <c r="M33" s="7"/>
      <c r="N33" s="7">
        <v>131994.98404032027</v>
      </c>
    </row>
    <row r="34" spans="1:14" x14ac:dyDescent="0.25">
      <c r="B34" t="s">
        <v>13</v>
      </c>
      <c r="C34" s="7"/>
      <c r="D34" s="7"/>
      <c r="E34" s="7">
        <v>52990.01496</v>
      </c>
      <c r="F34" s="7">
        <v>42250.464</v>
      </c>
      <c r="G34" s="7"/>
      <c r="H34" s="7"/>
      <c r="I34" s="7"/>
      <c r="J34" s="7"/>
      <c r="K34" s="7"/>
      <c r="L34" s="7"/>
      <c r="M34" s="7"/>
      <c r="N34" s="7">
        <v>95240.478959999993</v>
      </c>
    </row>
    <row r="35" spans="1:14" x14ac:dyDescent="0.25">
      <c r="A35" t="s">
        <v>2</v>
      </c>
      <c r="B35" t="s">
        <v>12</v>
      </c>
      <c r="C35" s="7">
        <v>36541.816080000004</v>
      </c>
      <c r="D35" s="7">
        <v>18756.70896</v>
      </c>
      <c r="E35" s="7"/>
      <c r="F35" s="7"/>
      <c r="G35" s="7"/>
      <c r="H35" s="7"/>
      <c r="I35" s="7"/>
      <c r="J35" s="7"/>
      <c r="K35" s="7"/>
      <c r="L35" s="7"/>
      <c r="M35" s="7"/>
      <c r="N35" s="7">
        <v>55298.525040000008</v>
      </c>
    </row>
    <row r="36" spans="1:14" x14ac:dyDescent="0.25">
      <c r="B36" t="s">
        <v>14</v>
      </c>
      <c r="C36" s="7">
        <v>2688.39912</v>
      </c>
      <c r="D36" s="7">
        <v>27108.098159999998</v>
      </c>
      <c r="E36" s="7"/>
      <c r="F36" s="7"/>
      <c r="G36" s="7"/>
      <c r="H36" s="7"/>
      <c r="I36" s="7"/>
      <c r="J36" s="7"/>
      <c r="K36" s="7"/>
      <c r="L36" s="7"/>
      <c r="M36" s="7"/>
      <c r="N36" s="7">
        <v>29796.49728</v>
      </c>
    </row>
    <row r="37" spans="1:14" x14ac:dyDescent="0.25">
      <c r="A37" t="s">
        <v>3</v>
      </c>
      <c r="B37" t="s">
        <v>12</v>
      </c>
      <c r="C37" s="7">
        <v>25466.546720000002</v>
      </c>
      <c r="D37" s="7">
        <v>29830.575920000003</v>
      </c>
      <c r="E37" s="7"/>
      <c r="F37" s="7"/>
      <c r="G37" s="7"/>
      <c r="H37" s="7"/>
      <c r="I37" s="7"/>
      <c r="J37" s="7"/>
      <c r="K37" s="7"/>
      <c r="L37" s="7"/>
      <c r="M37" s="7"/>
      <c r="N37" s="7">
        <v>55297.122639999994</v>
      </c>
    </row>
    <row r="38" spans="1:14" x14ac:dyDescent="0.25">
      <c r="B38" t="s">
        <v>13</v>
      </c>
      <c r="C38" s="7"/>
      <c r="D38" s="7">
        <v>18733.167680000002</v>
      </c>
      <c r="E38" s="7"/>
      <c r="F38" s="7"/>
      <c r="G38" s="7"/>
      <c r="H38" s="7"/>
      <c r="I38" s="7"/>
      <c r="J38" s="7"/>
      <c r="K38" s="7"/>
      <c r="L38" s="7"/>
      <c r="M38" s="7"/>
      <c r="N38" s="7">
        <v>18733.167680000002</v>
      </c>
    </row>
    <row r="39" spans="1:14" x14ac:dyDescent="0.25">
      <c r="A39" t="s">
        <v>4</v>
      </c>
      <c r="B39" t="s">
        <v>12</v>
      </c>
      <c r="C39" s="7"/>
      <c r="D39" s="7">
        <v>7911.1632000000009</v>
      </c>
      <c r="E39" s="7">
        <v>7439.0720000000001</v>
      </c>
      <c r="F39" s="7"/>
      <c r="G39" s="7"/>
      <c r="H39" s="7"/>
      <c r="I39" s="7"/>
      <c r="J39" s="7"/>
      <c r="K39" s="7"/>
      <c r="L39" s="7"/>
      <c r="M39" s="7"/>
      <c r="N39" s="7">
        <v>15350.235200000001</v>
      </c>
    </row>
    <row r="40" spans="1:14" x14ac:dyDescent="0.25">
      <c r="A40" t="s">
        <v>5</v>
      </c>
      <c r="B40" t="s">
        <v>12</v>
      </c>
      <c r="C40" s="7"/>
      <c r="D40" s="7"/>
      <c r="E40" s="7"/>
      <c r="F40" s="7"/>
      <c r="G40" s="7">
        <v>84385.72522741319</v>
      </c>
      <c r="H40" s="7"/>
      <c r="I40" s="7"/>
      <c r="J40" s="7"/>
      <c r="K40" s="7"/>
      <c r="L40" s="7"/>
      <c r="M40" s="7"/>
      <c r="N40" s="7">
        <v>84385.72522741319</v>
      </c>
    </row>
    <row r="41" spans="1:14" x14ac:dyDescent="0.25">
      <c r="B41" t="s">
        <v>15</v>
      </c>
      <c r="C41" s="7"/>
      <c r="D41" s="7"/>
      <c r="E41" s="7"/>
      <c r="F41" s="7"/>
      <c r="G41" s="7">
        <v>61924.800000000003</v>
      </c>
      <c r="H41" s="7">
        <v>32592</v>
      </c>
      <c r="I41" s="7"/>
      <c r="J41" s="7"/>
      <c r="K41" s="7"/>
      <c r="L41" s="7"/>
      <c r="M41" s="7"/>
      <c r="N41" s="7">
        <v>94516.800000000003</v>
      </c>
    </row>
    <row r="42" spans="1:14" x14ac:dyDescent="0.25">
      <c r="B42" t="s">
        <v>13</v>
      </c>
      <c r="C42" s="7"/>
      <c r="D42" s="7"/>
      <c r="E42" s="7"/>
      <c r="F42" s="7"/>
      <c r="G42" s="7">
        <v>83780.975554395409</v>
      </c>
      <c r="H42" s="7">
        <v>479075.00557267142</v>
      </c>
      <c r="I42" s="7">
        <v>28682.605398621861</v>
      </c>
      <c r="J42" s="7"/>
      <c r="K42" s="7"/>
      <c r="L42" s="7"/>
      <c r="M42" s="7"/>
      <c r="N42" s="7">
        <v>591538.58652568865</v>
      </c>
    </row>
    <row r="43" spans="1:14" x14ac:dyDescent="0.25">
      <c r="A43" t="s">
        <v>6</v>
      </c>
      <c r="B43" t="s">
        <v>16</v>
      </c>
      <c r="C43" s="7"/>
      <c r="D43" s="7"/>
      <c r="E43" s="7"/>
      <c r="F43" s="7"/>
      <c r="G43" s="7"/>
      <c r="H43" s="7"/>
      <c r="I43" s="7">
        <v>60510.239999999998</v>
      </c>
      <c r="J43" s="7">
        <v>135458.99867679999</v>
      </c>
      <c r="K43" s="7">
        <v>53854.257130304002</v>
      </c>
      <c r="L43" s="7">
        <v>62314.446848000007</v>
      </c>
      <c r="M43" s="7">
        <v>45604.485620940803</v>
      </c>
      <c r="N43" s="7">
        <v>357742.42827604484</v>
      </c>
    </row>
    <row r="44" spans="1:14" x14ac:dyDescent="0.25">
      <c r="A44" t="s">
        <v>7</v>
      </c>
      <c r="B44" t="s">
        <v>12</v>
      </c>
      <c r="C44" s="7"/>
      <c r="D44" s="7"/>
      <c r="E44" s="7"/>
      <c r="F44" s="7"/>
      <c r="G44" s="7"/>
      <c r="H44" s="7"/>
      <c r="I44" s="7"/>
      <c r="J44" s="7"/>
      <c r="K44" s="7">
        <v>181621</v>
      </c>
      <c r="L44" s="7">
        <v>189563.00000000012</v>
      </c>
      <c r="M44" s="7"/>
      <c r="N44" s="7">
        <v>371184.00000000012</v>
      </c>
    </row>
    <row r="45" spans="1:14" x14ac:dyDescent="0.25">
      <c r="B45" t="s">
        <v>17</v>
      </c>
      <c r="C45" s="7"/>
      <c r="D45" s="7"/>
      <c r="E45" s="7"/>
      <c r="F45" s="7"/>
      <c r="G45" s="7"/>
      <c r="H45" s="7"/>
      <c r="I45" s="7"/>
      <c r="J45" s="7"/>
      <c r="K45" s="7">
        <v>6425.4960000000001</v>
      </c>
      <c r="L45" s="7">
        <v>49314.202080000003</v>
      </c>
      <c r="M45" s="7">
        <v>58110.560640000003</v>
      </c>
      <c r="N45" s="7">
        <v>113850.25872000003</v>
      </c>
    </row>
    <row r="46" spans="1:14" x14ac:dyDescent="0.25">
      <c r="A46" t="s">
        <v>8</v>
      </c>
      <c r="B46" t="s">
        <v>12</v>
      </c>
      <c r="C46" s="7"/>
      <c r="D46" s="7"/>
      <c r="E46" s="7"/>
      <c r="F46" s="7"/>
      <c r="G46" s="7"/>
      <c r="H46" s="7"/>
      <c r="I46" s="7"/>
      <c r="J46" s="7">
        <v>1046.6666666666667</v>
      </c>
      <c r="K46" s="7">
        <v>11513.33333333333</v>
      </c>
      <c r="L46" s="7"/>
      <c r="M46" s="7"/>
      <c r="N46" s="7">
        <v>12559.999999999996</v>
      </c>
    </row>
    <row r="47" spans="1:14" x14ac:dyDescent="0.25">
      <c r="A47" t="s">
        <v>9</v>
      </c>
      <c r="B47" t="s">
        <v>12</v>
      </c>
      <c r="C47" s="7">
        <v>469912.14912000007</v>
      </c>
      <c r="D47" s="7">
        <v>720378.60360000026</v>
      </c>
      <c r="E47" s="7">
        <v>425183.76944000018</v>
      </c>
      <c r="F47" s="7">
        <v>57159.876991673387</v>
      </c>
      <c r="G47" s="7"/>
      <c r="H47" s="7"/>
      <c r="I47" s="7"/>
      <c r="J47" s="7"/>
      <c r="K47" s="7"/>
      <c r="L47" s="7"/>
      <c r="M47" s="7"/>
      <c r="N47" s="7">
        <v>1672634.399151674</v>
      </c>
    </row>
    <row r="48" spans="1:14" x14ac:dyDescent="0.25">
      <c r="B48" t="s">
        <v>18</v>
      </c>
      <c r="C48" s="7"/>
      <c r="D48" s="7">
        <v>47470.9064</v>
      </c>
      <c r="E48" s="7"/>
      <c r="F48" s="7"/>
      <c r="G48" s="7"/>
      <c r="H48" s="7"/>
      <c r="I48" s="7"/>
      <c r="J48" s="7"/>
      <c r="K48" s="7"/>
      <c r="L48" s="7"/>
      <c r="M48" s="7"/>
      <c r="N48" s="7">
        <v>47470.9064</v>
      </c>
    </row>
    <row r="49" spans="1:14" x14ac:dyDescent="0.25">
      <c r="B49" t="s">
        <v>19</v>
      </c>
      <c r="C49" s="7"/>
      <c r="D49" s="7">
        <v>6649.1858400000001</v>
      </c>
      <c r="E49" s="7"/>
      <c r="F49" s="7"/>
      <c r="G49" s="7"/>
      <c r="H49" s="7"/>
      <c r="I49" s="7"/>
      <c r="J49" s="7"/>
      <c r="K49" s="7"/>
      <c r="L49" s="7"/>
      <c r="M49" s="7"/>
      <c r="N49" s="7">
        <v>6649.1858400000001</v>
      </c>
    </row>
    <row r="50" spans="1:14" x14ac:dyDescent="0.25">
      <c r="B50" t="s">
        <v>13</v>
      </c>
      <c r="C50" s="7"/>
      <c r="D50" s="7">
        <v>125547.99736000005</v>
      </c>
      <c r="E50" s="7">
        <v>132587.31640000004</v>
      </c>
      <c r="F50" s="7">
        <v>36475.103999999999</v>
      </c>
      <c r="G50" s="7"/>
      <c r="H50" s="7"/>
      <c r="I50" s="7"/>
      <c r="J50" s="7"/>
      <c r="K50" s="7"/>
      <c r="L50" s="7"/>
      <c r="M50" s="7"/>
      <c r="N50" s="7">
        <v>294610.41776000004</v>
      </c>
    </row>
    <row r="51" spans="1:14" x14ac:dyDescent="0.25">
      <c r="A51" t="s">
        <v>10</v>
      </c>
      <c r="B51" t="s">
        <v>12</v>
      </c>
      <c r="C51" s="7"/>
      <c r="D51" s="7"/>
      <c r="E51" s="7">
        <v>162874.7468472585</v>
      </c>
      <c r="F51" s="7">
        <v>53070.884567766661</v>
      </c>
      <c r="G51" s="7"/>
      <c r="H51" s="7"/>
      <c r="I51" s="7"/>
      <c r="J51" s="7"/>
      <c r="K51" s="7"/>
      <c r="L51" s="7"/>
      <c r="M51" s="7"/>
      <c r="N51" s="7">
        <v>215945.63141502519</v>
      </c>
    </row>
    <row r="52" spans="1:14" x14ac:dyDescent="0.25">
      <c r="B52" t="s">
        <v>13</v>
      </c>
      <c r="C52" s="7"/>
      <c r="D52" s="7"/>
      <c r="E52" s="7">
        <v>9784.9433600000011</v>
      </c>
      <c r="F52" s="7"/>
      <c r="G52" s="7"/>
      <c r="H52" s="7"/>
      <c r="I52" s="7"/>
      <c r="J52" s="7"/>
      <c r="K52" s="7"/>
      <c r="L52" s="7"/>
      <c r="M52" s="7"/>
      <c r="N52" s="7">
        <v>9784.9433600000011</v>
      </c>
    </row>
    <row r="53" spans="1:14" x14ac:dyDescent="0.25">
      <c r="A53" t="s">
        <v>11</v>
      </c>
      <c r="C53" s="7">
        <v>534608.91104000004</v>
      </c>
      <c r="D53" s="7">
        <v>1042110.6083199993</v>
      </c>
      <c r="E53" s="7">
        <v>827314.73769834335</v>
      </c>
      <c r="F53" s="7">
        <v>244354.59915445905</v>
      </c>
      <c r="G53" s="7">
        <v>230091.5007818086</v>
      </c>
      <c r="H53" s="7">
        <v>512084.64412688825</v>
      </c>
      <c r="I53" s="7">
        <v>89192.845398621866</v>
      </c>
      <c r="J53" s="7">
        <v>136505.66534346668</v>
      </c>
      <c r="K53" s="7">
        <v>253414.08646363736</v>
      </c>
      <c r="L53" s="7">
        <v>301191.64892800013</v>
      </c>
      <c r="M53" s="7">
        <v>103715.0462609408</v>
      </c>
      <c r="N53" s="7">
        <v>4274584.2935161628</v>
      </c>
    </row>
    <row r="55" spans="1:14" x14ac:dyDescent="0.25">
      <c r="E55" s="3" t="s">
        <v>24</v>
      </c>
      <c r="F55" s="3" t="s">
        <v>25</v>
      </c>
    </row>
    <row r="56" spans="1:14" x14ac:dyDescent="0.25">
      <c r="E56" s="3" t="s">
        <v>26</v>
      </c>
      <c r="F56" s="4">
        <v>46007</v>
      </c>
    </row>
    <row r="57" spans="1:14" x14ac:dyDescent="0.25">
      <c r="E57" s="5" t="s">
        <v>33</v>
      </c>
      <c r="F57" s="6"/>
    </row>
    <row r="58" spans="1:14" x14ac:dyDescent="0.25">
      <c r="A58" s="1" t="s">
        <v>34</v>
      </c>
      <c r="C58" s="1" t="s">
        <v>22</v>
      </c>
    </row>
    <row r="59" spans="1:14" x14ac:dyDescent="0.25">
      <c r="A59" s="1" t="s">
        <v>0</v>
      </c>
      <c r="B59" s="1" t="s">
        <v>21</v>
      </c>
      <c r="C59">
        <v>11</v>
      </c>
      <c r="D59">
        <v>12</v>
      </c>
      <c r="E59">
        <v>1</v>
      </c>
      <c r="F59">
        <v>2</v>
      </c>
      <c r="G59">
        <v>3</v>
      </c>
      <c r="H59">
        <v>4</v>
      </c>
      <c r="I59">
        <v>5</v>
      </c>
      <c r="J59">
        <v>6</v>
      </c>
      <c r="K59">
        <v>7</v>
      </c>
      <c r="L59">
        <v>8</v>
      </c>
      <c r="M59">
        <v>9</v>
      </c>
      <c r="N59" t="s">
        <v>11</v>
      </c>
    </row>
    <row r="60" spans="1:14" x14ac:dyDescent="0.25">
      <c r="A60" t="s">
        <v>1</v>
      </c>
      <c r="B60" t="s">
        <v>12</v>
      </c>
      <c r="C60" s="7"/>
      <c r="D60" s="7">
        <v>139061.44369999997</v>
      </c>
      <c r="E60" s="7">
        <v>127616.60024128514</v>
      </c>
      <c r="F60" s="7">
        <v>193931.23374788393</v>
      </c>
      <c r="G60" s="7"/>
      <c r="H60" s="7">
        <v>1462.0160642570281</v>
      </c>
      <c r="I60" s="7"/>
      <c r="J60" s="7"/>
      <c r="K60" s="7"/>
      <c r="L60" s="7"/>
      <c r="M60" s="7"/>
      <c r="N60" s="7">
        <v>462071.29375342594</v>
      </c>
    </row>
    <row r="61" spans="1:14" x14ac:dyDescent="0.25">
      <c r="B61" t="s">
        <v>13</v>
      </c>
      <c r="C61" s="7"/>
      <c r="D61" s="7"/>
      <c r="E61" s="7">
        <v>185500.72146</v>
      </c>
      <c r="F61" s="7">
        <v>147905.06400000001</v>
      </c>
      <c r="G61" s="7"/>
      <c r="H61" s="7"/>
      <c r="I61" s="7"/>
      <c r="J61" s="7"/>
      <c r="K61" s="7"/>
      <c r="L61" s="7"/>
      <c r="M61" s="7"/>
      <c r="N61" s="7">
        <v>333405.78546000004</v>
      </c>
    </row>
    <row r="62" spans="1:14" x14ac:dyDescent="0.25">
      <c r="A62" t="s">
        <v>2</v>
      </c>
      <c r="B62" t="s">
        <v>12</v>
      </c>
      <c r="C62" s="7">
        <v>191898.24807999999</v>
      </c>
      <c r="D62" s="7">
        <v>98500.292960000006</v>
      </c>
      <c r="E62" s="7"/>
      <c r="F62" s="7"/>
      <c r="G62" s="7"/>
      <c r="H62" s="7"/>
      <c r="I62" s="7"/>
      <c r="J62" s="7"/>
      <c r="K62" s="7"/>
      <c r="L62" s="7"/>
      <c r="M62" s="7"/>
      <c r="N62" s="7">
        <v>290398.54104000004</v>
      </c>
    </row>
    <row r="63" spans="1:14" x14ac:dyDescent="0.25">
      <c r="B63" t="s">
        <v>14</v>
      </c>
      <c r="C63" s="7">
        <v>14118.047119999999</v>
      </c>
      <c r="D63" s="7">
        <v>142357.36215999999</v>
      </c>
      <c r="E63" s="7"/>
      <c r="F63" s="7"/>
      <c r="G63" s="7"/>
      <c r="H63" s="7"/>
      <c r="I63" s="7"/>
      <c r="J63" s="7"/>
      <c r="K63" s="7"/>
      <c r="L63" s="7"/>
      <c r="M63" s="7"/>
      <c r="N63" s="7">
        <v>156475.40927999999</v>
      </c>
    </row>
    <row r="64" spans="1:14" x14ac:dyDescent="0.25">
      <c r="A64" t="s">
        <v>3</v>
      </c>
      <c r="B64" t="s">
        <v>12</v>
      </c>
      <c r="C64" s="7">
        <v>65618.954519999999</v>
      </c>
      <c r="D64" s="7">
        <v>76863.629219999988</v>
      </c>
      <c r="E64" s="7"/>
      <c r="F64" s="7"/>
      <c r="G64" s="7"/>
      <c r="H64" s="7"/>
      <c r="I64" s="7"/>
      <c r="J64" s="7"/>
      <c r="K64" s="7"/>
      <c r="L64" s="7"/>
      <c r="M64" s="7"/>
      <c r="N64" s="7">
        <v>142482.58374</v>
      </c>
    </row>
    <row r="65" spans="1:14" x14ac:dyDescent="0.25">
      <c r="B65" t="s">
        <v>13</v>
      </c>
      <c r="C65" s="7"/>
      <c r="D65" s="7">
        <v>48269.240879999998</v>
      </c>
      <c r="E65" s="7"/>
      <c r="F65" s="7"/>
      <c r="G65" s="7"/>
      <c r="H65" s="7"/>
      <c r="I65" s="7"/>
      <c r="J65" s="7"/>
      <c r="K65" s="7"/>
      <c r="L65" s="7"/>
      <c r="M65" s="7"/>
      <c r="N65" s="7">
        <v>48269.240879999998</v>
      </c>
    </row>
    <row r="66" spans="1:14" x14ac:dyDescent="0.25">
      <c r="A66" t="s">
        <v>4</v>
      </c>
      <c r="B66" t="s">
        <v>12</v>
      </c>
      <c r="C66" s="7"/>
      <c r="D66" s="7">
        <v>19818.4365</v>
      </c>
      <c r="E66" s="7">
        <v>18635.79</v>
      </c>
      <c r="F66" s="7"/>
      <c r="G66" s="7"/>
      <c r="H66" s="7"/>
      <c r="I66" s="7"/>
      <c r="J66" s="7"/>
      <c r="K66" s="7"/>
      <c r="L66" s="7"/>
      <c r="M66" s="7"/>
      <c r="N66" s="7">
        <v>38454.226500000004</v>
      </c>
    </row>
    <row r="67" spans="1:14" x14ac:dyDescent="0.25">
      <c r="A67" t="s">
        <v>5</v>
      </c>
      <c r="B67" t="s">
        <v>12</v>
      </c>
      <c r="C67" s="7"/>
      <c r="D67" s="7"/>
      <c r="E67" s="7"/>
      <c r="F67" s="7"/>
      <c r="G67" s="7">
        <v>280125.80951780453</v>
      </c>
      <c r="H67" s="7"/>
      <c r="I67" s="7"/>
      <c r="J67" s="7"/>
      <c r="K67" s="7"/>
      <c r="L67" s="7"/>
      <c r="M67" s="7"/>
      <c r="N67" s="7">
        <v>280125.80951780453</v>
      </c>
    </row>
    <row r="68" spans="1:14" x14ac:dyDescent="0.25">
      <c r="B68" t="s">
        <v>15</v>
      </c>
      <c r="C68" s="7"/>
      <c r="D68" s="7"/>
      <c r="E68" s="7"/>
      <c r="F68" s="7"/>
      <c r="G68" s="7">
        <v>205564.80000000002</v>
      </c>
      <c r="H68" s="7">
        <v>108192</v>
      </c>
      <c r="I68" s="7"/>
      <c r="J68" s="7"/>
      <c r="K68" s="7"/>
      <c r="L68" s="7"/>
      <c r="M68" s="7"/>
      <c r="N68" s="7">
        <v>313756.80000000005</v>
      </c>
    </row>
    <row r="69" spans="1:14" x14ac:dyDescent="0.25">
      <c r="B69" t="s">
        <v>13</v>
      </c>
      <c r="C69" s="7"/>
      <c r="D69" s="7"/>
      <c r="E69" s="7"/>
      <c r="F69" s="7"/>
      <c r="G69" s="7">
        <v>278118.28998469404</v>
      </c>
      <c r="H69" s="7">
        <v>1590331.4617979401</v>
      </c>
      <c r="I69" s="7">
        <v>95214.422044909676</v>
      </c>
      <c r="J69" s="7"/>
      <c r="K69" s="7"/>
      <c r="L69" s="7"/>
      <c r="M69" s="7"/>
      <c r="N69" s="7">
        <v>1963664.1738275439</v>
      </c>
    </row>
    <row r="70" spans="1:14" x14ac:dyDescent="0.25">
      <c r="A70" t="s">
        <v>6</v>
      </c>
      <c r="B70" t="s">
        <v>16</v>
      </c>
      <c r="C70" s="7"/>
      <c r="D70" s="7"/>
      <c r="E70" s="7"/>
      <c r="F70" s="7"/>
      <c r="G70" s="7"/>
      <c r="H70" s="7"/>
      <c r="I70" s="7">
        <v>210141.54</v>
      </c>
      <c r="J70" s="7">
        <v>470425.54431779997</v>
      </c>
      <c r="K70" s="7">
        <v>187026.46905578399</v>
      </c>
      <c r="L70" s="7">
        <v>216407.23660800004</v>
      </c>
      <c r="M70" s="7">
        <v>158376.44734663679</v>
      </c>
      <c r="N70" s="7">
        <v>1242377.2373282206</v>
      </c>
    </row>
    <row r="71" spans="1:14" x14ac:dyDescent="0.25">
      <c r="A71" t="s">
        <v>7</v>
      </c>
      <c r="B71" t="s">
        <v>12</v>
      </c>
      <c r="C71" s="7"/>
      <c r="D71" s="7"/>
      <c r="E71" s="7"/>
      <c r="F71" s="7"/>
      <c r="G71" s="7"/>
      <c r="H71" s="7"/>
      <c r="I71" s="7"/>
      <c r="J71" s="7"/>
      <c r="K71" s="7">
        <v>681477.04166666616</v>
      </c>
      <c r="L71" s="7">
        <v>711276.95833333279</v>
      </c>
      <c r="M71" s="7"/>
      <c r="N71" s="7">
        <v>1392753.9999999981</v>
      </c>
    </row>
    <row r="72" spans="1:14" x14ac:dyDescent="0.25">
      <c r="B72" t="s">
        <v>17</v>
      </c>
      <c r="C72" s="7"/>
      <c r="D72" s="7"/>
      <c r="E72" s="7"/>
      <c r="F72" s="7"/>
      <c r="G72" s="7"/>
      <c r="H72" s="7"/>
      <c r="I72" s="7"/>
      <c r="J72" s="7"/>
      <c r="K72" s="7">
        <v>24109.701000000001</v>
      </c>
      <c r="L72" s="7">
        <v>185036.40297999998</v>
      </c>
      <c r="M72" s="7">
        <v>218042.03783999998</v>
      </c>
      <c r="N72" s="7">
        <v>427188.14182000002</v>
      </c>
    </row>
    <row r="73" spans="1:14" x14ac:dyDescent="0.25">
      <c r="A73" t="s">
        <v>8</v>
      </c>
      <c r="B73" t="s">
        <v>12</v>
      </c>
      <c r="C73" s="7"/>
      <c r="D73" s="7"/>
      <c r="E73" s="7"/>
      <c r="F73" s="7"/>
      <c r="G73" s="7"/>
      <c r="H73" s="7"/>
      <c r="I73" s="7"/>
      <c r="J73" s="7">
        <v>3727.916666666667</v>
      </c>
      <c r="K73" s="7">
        <v>41007.083333333336</v>
      </c>
      <c r="L73" s="7"/>
      <c r="M73" s="7"/>
      <c r="N73" s="7">
        <v>44735.000000000007</v>
      </c>
    </row>
    <row r="74" spans="1:14" x14ac:dyDescent="0.25">
      <c r="A74" t="s">
        <v>9</v>
      </c>
      <c r="B74" t="s">
        <v>12</v>
      </c>
      <c r="C74" s="7">
        <v>1394860.4947200003</v>
      </c>
      <c r="D74" s="7">
        <v>2138330.8716000011</v>
      </c>
      <c r="E74" s="7">
        <v>1262091.3166400003</v>
      </c>
      <c r="F74" s="7">
        <v>169670.12759310359</v>
      </c>
      <c r="G74" s="7"/>
      <c r="H74" s="7"/>
      <c r="I74" s="7"/>
      <c r="J74" s="7"/>
      <c r="K74" s="7"/>
      <c r="L74" s="7"/>
      <c r="M74" s="7"/>
      <c r="N74" s="7">
        <v>4964952.8105531065</v>
      </c>
    </row>
    <row r="75" spans="1:14" x14ac:dyDescent="0.25">
      <c r="B75" t="s">
        <v>18</v>
      </c>
      <c r="C75" s="7"/>
      <c r="D75" s="7">
        <v>140909.93840000001</v>
      </c>
      <c r="E75" s="7"/>
      <c r="F75" s="7"/>
      <c r="G75" s="7"/>
      <c r="H75" s="7"/>
      <c r="I75" s="7"/>
      <c r="J75" s="7"/>
      <c r="K75" s="7"/>
      <c r="L75" s="7"/>
      <c r="M75" s="7"/>
      <c r="N75" s="7">
        <v>140909.93840000001</v>
      </c>
    </row>
    <row r="76" spans="1:14" x14ac:dyDescent="0.25">
      <c r="B76" t="s">
        <v>19</v>
      </c>
      <c r="C76" s="7"/>
      <c r="D76" s="7">
        <v>19737.065040000001</v>
      </c>
      <c r="E76" s="7"/>
      <c r="F76" s="7"/>
      <c r="G76" s="7"/>
      <c r="H76" s="7"/>
      <c r="I76" s="7"/>
      <c r="J76" s="7"/>
      <c r="K76" s="7"/>
      <c r="L76" s="7"/>
      <c r="M76" s="7"/>
      <c r="N76" s="7">
        <v>19737.065040000001</v>
      </c>
    </row>
    <row r="77" spans="1:14" x14ac:dyDescent="0.25">
      <c r="B77" t="s">
        <v>13</v>
      </c>
      <c r="C77" s="7"/>
      <c r="D77" s="7">
        <v>372669.53415999981</v>
      </c>
      <c r="E77" s="7">
        <v>393564.64840000018</v>
      </c>
      <c r="F77" s="7">
        <v>108270.62400000001</v>
      </c>
      <c r="G77" s="7"/>
      <c r="H77" s="7"/>
      <c r="I77" s="7"/>
      <c r="J77" s="7"/>
      <c r="K77" s="7"/>
      <c r="L77" s="7"/>
      <c r="M77" s="7"/>
      <c r="N77" s="7">
        <v>874504.80656000017</v>
      </c>
    </row>
    <row r="78" spans="1:14" x14ac:dyDescent="0.25">
      <c r="A78" t="s">
        <v>10</v>
      </c>
      <c r="B78" t="s">
        <v>12</v>
      </c>
      <c r="C78" s="7"/>
      <c r="D78" s="7"/>
      <c r="E78" s="7">
        <v>455906.95849321777</v>
      </c>
      <c r="F78" s="7">
        <v>148552.09930441348</v>
      </c>
      <c r="G78" s="7"/>
      <c r="H78" s="7"/>
      <c r="I78" s="7"/>
      <c r="J78" s="7"/>
      <c r="K78" s="7"/>
      <c r="L78" s="7"/>
      <c r="M78" s="7"/>
      <c r="N78" s="7">
        <v>604459.05779763113</v>
      </c>
    </row>
    <row r="79" spans="1:14" x14ac:dyDescent="0.25">
      <c r="B79" t="s">
        <v>13</v>
      </c>
      <c r="C79" s="7"/>
      <c r="D79" s="7"/>
      <c r="E79" s="7">
        <v>27389.290560000001</v>
      </c>
      <c r="F79" s="7"/>
      <c r="G79" s="7"/>
      <c r="H79" s="7"/>
      <c r="I79" s="7"/>
      <c r="J79" s="7"/>
      <c r="K79" s="7"/>
      <c r="L79" s="7"/>
      <c r="M79" s="7"/>
      <c r="N79" s="7">
        <v>27389.290560000001</v>
      </c>
    </row>
    <row r="80" spans="1:14" x14ac:dyDescent="0.25">
      <c r="A80" t="s">
        <v>11</v>
      </c>
      <c r="C80" s="7">
        <v>1666495.7444399998</v>
      </c>
      <c r="D80" s="7">
        <v>3196517.8146200036</v>
      </c>
      <c r="E80" s="7">
        <v>2470705.3257945036</v>
      </c>
      <c r="F80" s="7">
        <v>768329.14864540019</v>
      </c>
      <c r="G80" s="7">
        <v>763808.89950249868</v>
      </c>
      <c r="H80" s="7">
        <v>1699985.477862197</v>
      </c>
      <c r="I80" s="7">
        <v>305355.96204490971</v>
      </c>
      <c r="J80" s="7">
        <v>474153.4609844666</v>
      </c>
      <c r="K80" s="7">
        <v>933620.2950557837</v>
      </c>
      <c r="L80" s="7">
        <v>1112720.5979213328</v>
      </c>
      <c r="M80" s="7">
        <v>376418.4851866368</v>
      </c>
      <c r="N80" s="7">
        <v>13768111.212057753</v>
      </c>
    </row>
  </sheetData>
  <mergeCells count="3">
    <mergeCell ref="E3:F3"/>
    <mergeCell ref="E30:F30"/>
    <mergeCell ref="E57:F5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107F-2857-4426-8B48-54508AD4CCFA}">
  <dimension ref="A1:F198"/>
  <sheetViews>
    <sheetView showGridLines="0" zoomScale="115" zoomScaleNormal="115" workbookViewId="0">
      <selection activeCell="A9" sqref="A9:A10 C9:E10"/>
      <pivotSelection pane="bottomRight" showHeader="1" extendable="1" axis="axisRow" start="4" max="21" activeRow="8" previousRow="8" click="1" r:id="rId1">
        <pivotArea dataOnly="0" outline="0" fieldPosition="0">
          <references count="1">
            <reference field="0" count="1">
              <x v="2"/>
            </reference>
          </references>
        </pivotArea>
      </pivotSelection>
    </sheetView>
  </sheetViews>
  <sheetFormatPr baseColWidth="10" defaultRowHeight="15" x14ac:dyDescent="0.25"/>
  <cols>
    <col min="1" max="1" width="17.85546875" bestFit="1" customWidth="1"/>
    <col min="2" max="2" width="14.140625" bestFit="1" customWidth="1"/>
    <col min="3" max="3" width="9.28515625" bestFit="1" customWidth="1"/>
    <col min="4" max="4" width="8.5703125" bestFit="1" customWidth="1"/>
    <col min="5" max="5" width="13.85546875" customWidth="1"/>
    <col min="6" max="6" width="12.28515625" customWidth="1"/>
    <col min="7" max="13" width="6.7109375" bestFit="1" customWidth="1"/>
    <col min="14" max="14" width="12.5703125" bestFit="1" customWidth="1"/>
  </cols>
  <sheetData>
    <row r="1" spans="1:6" x14ac:dyDescent="0.25">
      <c r="E1" s="3" t="s">
        <v>24</v>
      </c>
      <c r="F1" s="3" t="s">
        <v>25</v>
      </c>
    </row>
    <row r="2" spans="1:6" x14ac:dyDescent="0.25">
      <c r="E2" s="3" t="s">
        <v>26</v>
      </c>
      <c r="F2" s="4">
        <v>46007</v>
      </c>
    </row>
    <row r="3" spans="1:6" x14ac:dyDescent="0.25">
      <c r="E3" s="5" t="s">
        <v>30</v>
      </c>
      <c r="F3" s="6"/>
    </row>
    <row r="4" spans="1:6" x14ac:dyDescent="0.25">
      <c r="A4" s="1" t="s">
        <v>0</v>
      </c>
      <c r="B4" s="1" t="s">
        <v>21</v>
      </c>
      <c r="C4" t="s">
        <v>35</v>
      </c>
      <c r="D4" t="s">
        <v>36</v>
      </c>
      <c r="E4" t="s">
        <v>37</v>
      </c>
    </row>
    <row r="5" spans="1:6" x14ac:dyDescent="0.25">
      <c r="A5" t="s">
        <v>1</v>
      </c>
      <c r="B5" t="s">
        <v>12</v>
      </c>
      <c r="C5" s="11">
        <v>0.18575000000000033</v>
      </c>
      <c r="D5" s="11">
        <v>9.2850000000000155E-2</v>
      </c>
      <c r="E5" s="11">
        <v>0.2786000000000004</v>
      </c>
    </row>
    <row r="6" spans="1:6" x14ac:dyDescent="0.25">
      <c r="B6" t="s">
        <v>13</v>
      </c>
      <c r="C6" s="11">
        <v>0.18575000000000003</v>
      </c>
      <c r="D6" s="11">
        <v>9.2850000000000016E-2</v>
      </c>
      <c r="E6" s="11">
        <v>0.27859999999999996</v>
      </c>
    </row>
    <row r="7" spans="1:6" x14ac:dyDescent="0.25">
      <c r="A7" t="s">
        <v>2</v>
      </c>
      <c r="B7" t="s">
        <v>12</v>
      </c>
      <c r="C7" s="11">
        <v>0.376</v>
      </c>
      <c r="D7" s="11">
        <v>0.11055000000000001</v>
      </c>
      <c r="E7" s="11">
        <v>0.48655000000000004</v>
      </c>
    </row>
    <row r="8" spans="1:6" x14ac:dyDescent="0.25">
      <c r="B8" t="s">
        <v>14</v>
      </c>
      <c r="C8" s="11">
        <v>0.37600000000000006</v>
      </c>
      <c r="D8" s="11">
        <v>0.11055000000000002</v>
      </c>
      <c r="E8" s="11">
        <v>0.48655000000000004</v>
      </c>
    </row>
    <row r="9" spans="1:6" x14ac:dyDescent="0.25">
      <c r="A9" t="s">
        <v>3</v>
      </c>
      <c r="B9" t="s">
        <v>12</v>
      </c>
      <c r="C9" s="11">
        <v>0.14044999999999999</v>
      </c>
      <c r="D9" s="11">
        <v>0.11135000000000003</v>
      </c>
      <c r="E9" s="11">
        <v>0.25180000000000002</v>
      </c>
    </row>
    <row r="10" spans="1:6" x14ac:dyDescent="0.25">
      <c r="B10" t="s">
        <v>13</v>
      </c>
      <c r="C10" s="11">
        <v>0.14045000000000002</v>
      </c>
      <c r="D10" s="11">
        <v>0.11135</v>
      </c>
      <c r="E10" s="11">
        <v>0.25180000000000002</v>
      </c>
    </row>
    <row r="11" spans="1:6" x14ac:dyDescent="0.25">
      <c r="A11" t="s">
        <v>4</v>
      </c>
      <c r="B11" t="s">
        <v>12</v>
      </c>
      <c r="C11" s="11">
        <v>0.1469</v>
      </c>
      <c r="D11" s="11">
        <v>0.122</v>
      </c>
      <c r="E11" s="11">
        <v>0.26890000000000003</v>
      </c>
    </row>
    <row r="12" spans="1:6" x14ac:dyDescent="0.25">
      <c r="A12" t="s">
        <v>5</v>
      </c>
      <c r="B12" t="s">
        <v>12</v>
      </c>
      <c r="C12" s="11">
        <v>0.12599999999999992</v>
      </c>
      <c r="D12" s="11">
        <v>6.7900000000000002E-2</v>
      </c>
      <c r="E12" s="11">
        <v>0.19390000000000004</v>
      </c>
    </row>
    <row r="13" spans="1:6" x14ac:dyDescent="0.25">
      <c r="B13" t="s">
        <v>15</v>
      </c>
      <c r="C13" s="11">
        <v>0.12600000000000003</v>
      </c>
      <c r="D13" s="11">
        <v>6.7900000000000002E-2</v>
      </c>
      <c r="E13" s="11">
        <v>0.19390000000000002</v>
      </c>
    </row>
    <row r="14" spans="1:6" x14ac:dyDescent="0.25">
      <c r="B14" t="s">
        <v>13</v>
      </c>
      <c r="C14" s="11">
        <v>0.12600000000000003</v>
      </c>
      <c r="D14" s="11">
        <v>6.7900000000000002E-2</v>
      </c>
      <c r="E14" s="11">
        <v>0.19390000000000004</v>
      </c>
    </row>
    <row r="15" spans="1:6" x14ac:dyDescent="0.25">
      <c r="A15" t="s">
        <v>6</v>
      </c>
      <c r="B15" t="s">
        <v>16</v>
      </c>
      <c r="C15" s="11">
        <v>0.18199999999999997</v>
      </c>
      <c r="D15" s="11">
        <v>9.2000000000000026E-2</v>
      </c>
      <c r="E15" s="11">
        <v>0.27400000000000002</v>
      </c>
    </row>
    <row r="16" spans="1:6" x14ac:dyDescent="0.25">
      <c r="A16" t="s">
        <v>7</v>
      </c>
      <c r="B16" t="s">
        <v>12</v>
      </c>
      <c r="C16" s="11">
        <v>0.13805000000000003</v>
      </c>
      <c r="D16" s="11">
        <v>6.2700000000000075E-2</v>
      </c>
      <c r="E16" s="11">
        <v>0.20074999999999996</v>
      </c>
    </row>
    <row r="17" spans="1:6" x14ac:dyDescent="0.25">
      <c r="B17" t="s">
        <v>17</v>
      </c>
      <c r="C17" s="11">
        <v>0.13805000000000001</v>
      </c>
      <c r="D17" s="11">
        <v>6.2699999999999992E-2</v>
      </c>
      <c r="E17" s="11">
        <v>0.20074999999999998</v>
      </c>
    </row>
    <row r="18" spans="1:6" x14ac:dyDescent="0.25">
      <c r="A18" t="s">
        <v>8</v>
      </c>
      <c r="B18" t="s">
        <v>12</v>
      </c>
      <c r="C18" s="11">
        <v>0.12869999999999998</v>
      </c>
      <c r="D18" s="11">
        <v>6.2799999999999981E-2</v>
      </c>
      <c r="E18" s="11">
        <v>0.1915</v>
      </c>
    </row>
    <row r="19" spans="1:6" x14ac:dyDescent="0.25">
      <c r="A19" t="s">
        <v>9</v>
      </c>
      <c r="B19" t="s">
        <v>12</v>
      </c>
      <c r="C19" s="11">
        <v>0.15419999999999992</v>
      </c>
      <c r="D19" s="11">
        <v>9.7925000000000026E-2</v>
      </c>
      <c r="E19" s="11">
        <v>0.25212500000000049</v>
      </c>
    </row>
    <row r="20" spans="1:6" x14ac:dyDescent="0.25">
      <c r="B20" t="s">
        <v>18</v>
      </c>
      <c r="C20" s="11">
        <v>0.1542</v>
      </c>
      <c r="D20" s="11">
        <v>9.7925000000000012E-2</v>
      </c>
      <c r="E20" s="11">
        <v>0.25212500000000004</v>
      </c>
    </row>
    <row r="21" spans="1:6" x14ac:dyDescent="0.25">
      <c r="B21" t="s">
        <v>19</v>
      </c>
      <c r="C21" s="11">
        <v>0.1542</v>
      </c>
      <c r="D21" s="11">
        <v>9.7925000000000012E-2</v>
      </c>
      <c r="E21" s="11">
        <v>0.25212500000000004</v>
      </c>
    </row>
    <row r="22" spans="1:6" x14ac:dyDescent="0.25">
      <c r="B22" t="s">
        <v>13</v>
      </c>
      <c r="C22" s="11">
        <v>0.15420000000000003</v>
      </c>
      <c r="D22" s="11">
        <v>9.7925000000000012E-2</v>
      </c>
      <c r="E22" s="11">
        <v>0.25212500000000004</v>
      </c>
    </row>
    <row r="23" spans="1:6" x14ac:dyDescent="0.25">
      <c r="A23" t="s">
        <v>10</v>
      </c>
      <c r="B23" t="s">
        <v>12</v>
      </c>
      <c r="C23" s="11">
        <v>0.15234999999999999</v>
      </c>
      <c r="D23" s="11">
        <v>0.10584999999999989</v>
      </c>
      <c r="E23" s="11">
        <v>0.25819999999999993</v>
      </c>
    </row>
    <row r="24" spans="1:6" x14ac:dyDescent="0.25">
      <c r="B24" t="s">
        <v>13</v>
      </c>
      <c r="C24" s="11">
        <v>0.15234999999999999</v>
      </c>
      <c r="D24" s="11">
        <v>0.10585</v>
      </c>
      <c r="E24" s="11">
        <v>0.25819999999999999</v>
      </c>
    </row>
    <row r="25" spans="1:6" x14ac:dyDescent="0.25">
      <c r="A25" t="s">
        <v>11</v>
      </c>
      <c r="C25" s="11">
        <v>0.15437716346153826</v>
      </c>
      <c r="D25" s="11">
        <v>8.6918028846153822E-2</v>
      </c>
      <c r="E25" s="11">
        <v>0.24129519230769259</v>
      </c>
    </row>
    <row r="27" spans="1:6" s="8" customFormat="1" x14ac:dyDescent="0.25"/>
    <row r="28" spans="1:6" s="8" customFormat="1" x14ac:dyDescent="0.25"/>
    <row r="29" spans="1:6" s="8" customFormat="1" x14ac:dyDescent="0.25">
      <c r="F29" s="9"/>
    </row>
    <row r="30" spans="1:6" s="8" customFormat="1" x14ac:dyDescent="0.25">
      <c r="E30" s="10"/>
      <c r="F30" s="10"/>
    </row>
    <row r="31" spans="1:6" s="8" customFormat="1" x14ac:dyDescent="0.25"/>
    <row r="32" spans="1:6" s="8" customFormat="1" x14ac:dyDescent="0.25"/>
    <row r="33" s="8" customFormat="1" x14ac:dyDescent="0.25"/>
    <row r="34" s="8" customFormat="1" x14ac:dyDescent="0.25"/>
    <row r="35" s="8" customFormat="1" x14ac:dyDescent="0.25"/>
    <row r="36" s="8" customFormat="1" x14ac:dyDescent="0.25"/>
    <row r="37" s="8" customFormat="1" x14ac:dyDescent="0.25"/>
    <row r="38" s="8" customFormat="1" x14ac:dyDescent="0.25"/>
    <row r="39" s="8" customFormat="1" x14ac:dyDescent="0.25"/>
    <row r="40" s="8" customFormat="1" x14ac:dyDescent="0.25"/>
    <row r="41" s="8" customFormat="1" x14ac:dyDescent="0.25"/>
    <row r="42" s="8" customFormat="1" x14ac:dyDescent="0.25"/>
    <row r="43" s="8" customFormat="1" x14ac:dyDescent="0.25"/>
    <row r="44" s="8" customFormat="1" x14ac:dyDescent="0.25"/>
    <row r="45" s="8" customFormat="1" x14ac:dyDescent="0.25"/>
    <row r="46" s="8" customFormat="1" x14ac:dyDescent="0.25"/>
    <row r="47" s="8" customFormat="1" x14ac:dyDescent="0.25"/>
    <row r="48" s="8" customFormat="1" x14ac:dyDescent="0.25"/>
    <row r="49" spans="5:6" s="8" customFormat="1" x14ac:dyDescent="0.25"/>
    <row r="50" spans="5:6" s="8" customFormat="1" x14ac:dyDescent="0.25"/>
    <row r="51" spans="5:6" s="8" customFormat="1" x14ac:dyDescent="0.25"/>
    <row r="52" spans="5:6" s="8" customFormat="1" x14ac:dyDescent="0.25"/>
    <row r="53" spans="5:6" s="8" customFormat="1" x14ac:dyDescent="0.25"/>
    <row r="54" spans="5:6" s="8" customFormat="1" x14ac:dyDescent="0.25"/>
    <row r="55" spans="5:6" s="8" customFormat="1" x14ac:dyDescent="0.25"/>
    <row r="56" spans="5:6" s="8" customFormat="1" x14ac:dyDescent="0.25">
      <c r="F56" s="9"/>
    </row>
    <row r="57" spans="5:6" s="8" customFormat="1" x14ac:dyDescent="0.25">
      <c r="E57" s="10"/>
      <c r="F57" s="10"/>
    </row>
    <row r="58" spans="5:6" s="8" customFormat="1" x14ac:dyDescent="0.25"/>
    <row r="59" spans="5:6" s="8" customFormat="1" x14ac:dyDescent="0.25"/>
    <row r="60" spans="5:6" s="8" customFormat="1" x14ac:dyDescent="0.25"/>
    <row r="61" spans="5:6" s="8" customFormat="1" x14ac:dyDescent="0.25"/>
    <row r="62" spans="5:6" s="8" customFormat="1" x14ac:dyDescent="0.25"/>
    <row r="63" spans="5:6" s="8" customFormat="1" x14ac:dyDescent="0.25"/>
    <row r="64" spans="5:6" s="8" customFormat="1" x14ac:dyDescent="0.25"/>
    <row r="65" s="8" customFormat="1" x14ac:dyDescent="0.25"/>
    <row r="66" s="8" customFormat="1" x14ac:dyDescent="0.25"/>
    <row r="67" s="8" customFormat="1" x14ac:dyDescent="0.25"/>
    <row r="68" s="8" customFormat="1" x14ac:dyDescent="0.25"/>
    <row r="69" s="8" customFormat="1" x14ac:dyDescent="0.25"/>
    <row r="70" s="8" customFormat="1" x14ac:dyDescent="0.25"/>
    <row r="71" s="8" customFormat="1" x14ac:dyDescent="0.25"/>
    <row r="72" s="8" customFormat="1" x14ac:dyDescent="0.25"/>
    <row r="73" s="8" customFormat="1" x14ac:dyDescent="0.25"/>
    <row r="74" s="8" customFormat="1" x14ac:dyDescent="0.25"/>
    <row r="75" s="8" customFormat="1" x14ac:dyDescent="0.25"/>
    <row r="76" s="8" customFormat="1" x14ac:dyDescent="0.25"/>
    <row r="77" s="8" customFormat="1" x14ac:dyDescent="0.25"/>
    <row r="78" s="8" customFormat="1" x14ac:dyDescent="0.25"/>
    <row r="79" s="8" customFormat="1" x14ac:dyDescent="0.25"/>
    <row r="80" s="8" customFormat="1" x14ac:dyDescent="0.25"/>
    <row r="81" s="8" customFormat="1" x14ac:dyDescent="0.25"/>
    <row r="82" s="8" customFormat="1" x14ac:dyDescent="0.25"/>
    <row r="83" s="8" customFormat="1" x14ac:dyDescent="0.25"/>
    <row r="84" s="8" customFormat="1" x14ac:dyDescent="0.25"/>
    <row r="85" s="8" customFormat="1" x14ac:dyDescent="0.25"/>
    <row r="86" s="8" customFormat="1" x14ac:dyDescent="0.25"/>
    <row r="87" s="8" customFormat="1" x14ac:dyDescent="0.25"/>
    <row r="88" s="8" customFormat="1" x14ac:dyDescent="0.25"/>
    <row r="89" s="8" customFormat="1" x14ac:dyDescent="0.25"/>
    <row r="90" s="8" customFormat="1" x14ac:dyDescent="0.25"/>
    <row r="91" s="8" customFormat="1" x14ac:dyDescent="0.25"/>
    <row r="92" s="8" customFormat="1" x14ac:dyDescent="0.25"/>
    <row r="93" s="8" customFormat="1" x14ac:dyDescent="0.25"/>
    <row r="94" s="8" customFormat="1" x14ac:dyDescent="0.25"/>
    <row r="95" s="8" customFormat="1" x14ac:dyDescent="0.25"/>
    <row r="96" s="8" customFormat="1" x14ac:dyDescent="0.25"/>
    <row r="97" s="8" customFormat="1" x14ac:dyDescent="0.25"/>
    <row r="98" s="8" customFormat="1" x14ac:dyDescent="0.25"/>
    <row r="99" s="8" customFormat="1" x14ac:dyDescent="0.25"/>
    <row r="100" s="8" customFormat="1" x14ac:dyDescent="0.25"/>
    <row r="101" s="8" customFormat="1" x14ac:dyDescent="0.25"/>
    <row r="102" s="8" customFormat="1" x14ac:dyDescent="0.25"/>
    <row r="103" s="8" customFormat="1" x14ac:dyDescent="0.25"/>
    <row r="104" s="8" customFormat="1" x14ac:dyDescent="0.25"/>
    <row r="105" s="8" customFormat="1" x14ac:dyDescent="0.25"/>
    <row r="106" s="8" customFormat="1" x14ac:dyDescent="0.25"/>
    <row r="107" s="8" customFormat="1" x14ac:dyDescent="0.25"/>
    <row r="108" s="8" customFormat="1" x14ac:dyDescent="0.25"/>
    <row r="109" s="8" customFormat="1" x14ac:dyDescent="0.25"/>
    <row r="110" s="8" customFormat="1" x14ac:dyDescent="0.25"/>
    <row r="111" s="8" customFormat="1" x14ac:dyDescent="0.25"/>
    <row r="112" s="8" customFormat="1" x14ac:dyDescent="0.25"/>
    <row r="113" s="8" customFormat="1" x14ac:dyDescent="0.25"/>
    <row r="114" s="8" customFormat="1" x14ac:dyDescent="0.25"/>
    <row r="115" s="8" customFormat="1" x14ac:dyDescent="0.25"/>
    <row r="116" s="8" customFormat="1" x14ac:dyDescent="0.25"/>
    <row r="117" s="8" customFormat="1" x14ac:dyDescent="0.25"/>
    <row r="118" s="8" customFormat="1" x14ac:dyDescent="0.25"/>
    <row r="119" s="8" customFormat="1" x14ac:dyDescent="0.25"/>
    <row r="120" s="8" customFormat="1" x14ac:dyDescent="0.25"/>
    <row r="121" s="8" customFormat="1" x14ac:dyDescent="0.25"/>
    <row r="122" s="8" customFormat="1" x14ac:dyDescent="0.25"/>
    <row r="123" s="8" customFormat="1" x14ac:dyDescent="0.25"/>
    <row r="124" s="8" customFormat="1" x14ac:dyDescent="0.25"/>
    <row r="125" s="8" customFormat="1" x14ac:dyDescent="0.25"/>
    <row r="126" s="8" customFormat="1" x14ac:dyDescent="0.25"/>
    <row r="127" s="8" customFormat="1" x14ac:dyDescent="0.25"/>
    <row r="128" s="8" customFormat="1" x14ac:dyDescent="0.25"/>
    <row r="129" s="8" customFormat="1" x14ac:dyDescent="0.25"/>
    <row r="130" s="8" customFormat="1" x14ac:dyDescent="0.25"/>
    <row r="131" s="8" customFormat="1" x14ac:dyDescent="0.25"/>
    <row r="132" s="8" customFormat="1" x14ac:dyDescent="0.25"/>
    <row r="133" s="8" customFormat="1" x14ac:dyDescent="0.25"/>
    <row r="134" s="8" customFormat="1" x14ac:dyDescent="0.25"/>
    <row r="135" s="8" customFormat="1" x14ac:dyDescent="0.25"/>
    <row r="136" s="8" customFormat="1" x14ac:dyDescent="0.25"/>
    <row r="137" s="8" customFormat="1" x14ac:dyDescent="0.25"/>
    <row r="138" s="8" customFormat="1" x14ac:dyDescent="0.25"/>
    <row r="139" s="8" customFormat="1" x14ac:dyDescent="0.25"/>
    <row r="140" s="8" customFormat="1" x14ac:dyDescent="0.25"/>
    <row r="141" s="8" customFormat="1" x14ac:dyDescent="0.25"/>
    <row r="142" s="8" customFormat="1" x14ac:dyDescent="0.25"/>
    <row r="143" s="8" customFormat="1" x14ac:dyDescent="0.25"/>
    <row r="144" s="8" customFormat="1" x14ac:dyDescent="0.25"/>
    <row r="145" s="8" customFormat="1" x14ac:dyDescent="0.25"/>
    <row r="146" s="8" customFormat="1" x14ac:dyDescent="0.25"/>
    <row r="147" s="8" customFormat="1" x14ac:dyDescent="0.25"/>
    <row r="148" s="8" customFormat="1" x14ac:dyDescent="0.25"/>
    <row r="149" s="8" customFormat="1" x14ac:dyDescent="0.25"/>
    <row r="150" s="8" customFormat="1" x14ac:dyDescent="0.25"/>
    <row r="151" s="8" customFormat="1" x14ac:dyDescent="0.25"/>
    <row r="152" s="8" customFormat="1" x14ac:dyDescent="0.25"/>
    <row r="153" s="8" customFormat="1" x14ac:dyDescent="0.25"/>
    <row r="154" s="8" customFormat="1" x14ac:dyDescent="0.25"/>
    <row r="155" s="8" customFormat="1" x14ac:dyDescent="0.25"/>
    <row r="156" s="8" customFormat="1" x14ac:dyDescent="0.25"/>
    <row r="157" s="8" customFormat="1" x14ac:dyDescent="0.25"/>
    <row r="158" s="8" customFormat="1" x14ac:dyDescent="0.25"/>
    <row r="159" s="8" customFormat="1" x14ac:dyDescent="0.25"/>
    <row r="160" s="8" customFormat="1" x14ac:dyDescent="0.25"/>
    <row r="161" s="8" customFormat="1" x14ac:dyDescent="0.25"/>
    <row r="162" s="8" customFormat="1" x14ac:dyDescent="0.25"/>
    <row r="163" s="8" customFormat="1" x14ac:dyDescent="0.25"/>
    <row r="164" s="8" customFormat="1" x14ac:dyDescent="0.25"/>
    <row r="165" s="8" customFormat="1" x14ac:dyDescent="0.25"/>
    <row r="166" s="8" customFormat="1" x14ac:dyDescent="0.25"/>
    <row r="167" s="8" customFormat="1" x14ac:dyDescent="0.25"/>
    <row r="168" s="8" customFormat="1" x14ac:dyDescent="0.25"/>
    <row r="169" s="8" customFormat="1" x14ac:dyDescent="0.25"/>
    <row r="170" s="8" customFormat="1" x14ac:dyDescent="0.25"/>
    <row r="171" s="8" customFormat="1" x14ac:dyDescent="0.25"/>
    <row r="172" s="8" customFormat="1" x14ac:dyDescent="0.25"/>
    <row r="173" s="8" customFormat="1" x14ac:dyDescent="0.25"/>
    <row r="174" s="8" customFormat="1" x14ac:dyDescent="0.25"/>
    <row r="175" s="8" customFormat="1" x14ac:dyDescent="0.25"/>
    <row r="176" s="8" customFormat="1" x14ac:dyDescent="0.25"/>
    <row r="177" s="8" customFormat="1" x14ac:dyDescent="0.25"/>
    <row r="178" s="8" customFormat="1" x14ac:dyDescent="0.25"/>
    <row r="179" s="8" customFormat="1" x14ac:dyDescent="0.25"/>
    <row r="180" s="8" customFormat="1" x14ac:dyDescent="0.25"/>
    <row r="181" s="8" customFormat="1" x14ac:dyDescent="0.25"/>
    <row r="182" s="8" customFormat="1" x14ac:dyDescent="0.25"/>
    <row r="183" s="8" customFormat="1" x14ac:dyDescent="0.25"/>
    <row r="184" s="8" customFormat="1" x14ac:dyDescent="0.25"/>
    <row r="185" s="8" customFormat="1" x14ac:dyDescent="0.25"/>
    <row r="186" s="8" customFormat="1" x14ac:dyDescent="0.25"/>
    <row r="187" s="8" customFormat="1" x14ac:dyDescent="0.25"/>
    <row r="188" s="8" customFormat="1" x14ac:dyDescent="0.25"/>
    <row r="189" s="8" customFormat="1" x14ac:dyDescent="0.25"/>
    <row r="190" s="8" customFormat="1" x14ac:dyDescent="0.25"/>
    <row r="191" s="8" customFormat="1" x14ac:dyDescent="0.25"/>
    <row r="192" s="8" customFormat="1" x14ac:dyDescent="0.25"/>
    <row r="193" s="8" customFormat="1" x14ac:dyDescent="0.25"/>
    <row r="194" s="8" customFormat="1" x14ac:dyDescent="0.25"/>
    <row r="195" s="8" customFormat="1" x14ac:dyDescent="0.25"/>
    <row r="196" s="8" customFormat="1" x14ac:dyDescent="0.25"/>
    <row r="197" s="8" customFormat="1" x14ac:dyDescent="0.25"/>
    <row r="198" s="8" customFormat="1" x14ac:dyDescent="0.25"/>
  </sheetData>
  <mergeCells count="3">
    <mergeCell ref="E3:F3"/>
    <mergeCell ref="E30:F30"/>
    <mergeCell ref="E57:F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761BCE-660F-49DB-B97F-9337E3B042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Kilos</vt:lpstr>
      <vt:lpstr>Ingreso USD</vt:lpstr>
      <vt:lpstr>Ingreso CLP</vt:lpstr>
      <vt:lpstr>Unitarios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 Arenas</dc:creator>
  <cp:lastModifiedBy>Sergio  Arenas</cp:lastModifiedBy>
  <dcterms:created xsi:type="dcterms:W3CDTF">2026-03-23T12:12:58Z</dcterms:created>
  <dcterms:modified xsi:type="dcterms:W3CDTF">2026-03-23T18:15:20Z</dcterms:modified>
</cp:coreProperties>
</file>